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ADITYA BIRLA LIFESTYLE BRANDS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84.86</v>
      </c>
    </row>
    <row r="9">
      <c r="A9" s="21" t="inlineStr">
        <is>
          <t>Market Capitalization</t>
        </is>
      </c>
      <c r="B9" t="n">
        <v>10357.32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J17" t="n">
        <v>7829.96</v>
      </c>
      <c r="K17" t="n">
        <v>8395.809999999999</v>
      </c>
    </row>
    <row r="18" customFormat="1" s="9">
      <c r="A18" s="21" t="inlineStr">
        <is>
          <t>Raw Material Cost</t>
        </is>
      </c>
      <c r="J18" t="n">
        <v>3131.61</v>
      </c>
      <c r="K18" t="n">
        <v>3609.21</v>
      </c>
    </row>
    <row r="19" customFormat="1" s="9">
      <c r="A19" s="21" t="inlineStr">
        <is>
          <t>Change in Inventory</t>
        </is>
      </c>
      <c r="J19" t="n">
        <v>-140.41</v>
      </c>
      <c r="K19" t="n">
        <v>209.85</v>
      </c>
    </row>
    <row r="20" customFormat="1" s="9">
      <c r="A20" s="21" t="inlineStr">
        <is>
          <t>Power and Fuel</t>
        </is>
      </c>
      <c r="J20" t="n">
        <v>88.63</v>
      </c>
      <c r="K20" t="n">
        <v>97.41</v>
      </c>
    </row>
    <row r="21" customFormat="1" s="9">
      <c r="A21" s="21" t="inlineStr">
        <is>
          <t>Other Mfr. Exp</t>
        </is>
      </c>
      <c r="J21" t="n">
        <v>681.22</v>
      </c>
      <c r="K21" t="n">
        <v>751.6</v>
      </c>
    </row>
    <row r="22" customFormat="1" s="9">
      <c r="A22" s="21" t="inlineStr">
        <is>
          <t>Employee Cost</t>
        </is>
      </c>
      <c r="J22" t="n">
        <v>918.42</v>
      </c>
      <c r="K22" t="n">
        <v>941.33</v>
      </c>
    </row>
    <row r="23" customFormat="1" s="9">
      <c r="A23" s="21" t="inlineStr">
        <is>
          <t>Selling and admin</t>
        </is>
      </c>
      <c r="J23" t="n">
        <v>1568.78</v>
      </c>
      <c r="K23" t="n">
        <v>1713.38</v>
      </c>
    </row>
    <row r="24" customFormat="1" s="9">
      <c r="A24" s="21" t="inlineStr">
        <is>
          <t>Other Expenses</t>
        </is>
      </c>
      <c r="J24" t="n">
        <v>77.66</v>
      </c>
      <c r="K24" t="n">
        <v>121.45</v>
      </c>
    </row>
    <row r="25" customFormat="1" s="9">
      <c r="A25" s="9" t="inlineStr">
        <is>
          <t>Other Income</t>
        </is>
      </c>
      <c r="J25" t="n">
        <v>-20.62</v>
      </c>
      <c r="K25" t="n">
        <v>35.89</v>
      </c>
    </row>
    <row r="26" customFormat="1" s="9">
      <c r="A26" s="9" t="inlineStr">
        <is>
          <t>Depreciation</t>
        </is>
      </c>
      <c r="J26" t="n">
        <v>705.73</v>
      </c>
      <c r="K26" t="n">
        <v>795.39</v>
      </c>
    </row>
    <row r="27" customFormat="1" s="9">
      <c r="A27" s="9" t="inlineStr">
        <is>
          <t>Interest</t>
        </is>
      </c>
      <c r="J27" t="n">
        <v>413.47</v>
      </c>
      <c r="K27" t="n">
        <v>391.58</v>
      </c>
    </row>
    <row r="28" customFormat="1" s="9">
      <c r="A28" s="9" t="inlineStr">
        <is>
          <t>Profit before tax</t>
        </is>
      </c>
      <c r="J28" t="n">
        <v>83.41</v>
      </c>
      <c r="K28" t="n">
        <v>220.2</v>
      </c>
    </row>
    <row r="29" customFormat="1" s="9">
      <c r="A29" s="9" t="inlineStr">
        <is>
          <t>Tax</t>
        </is>
      </c>
      <c r="J29" t="n">
        <v>23.81</v>
      </c>
      <c r="K29" t="n">
        <v>49.15</v>
      </c>
    </row>
    <row r="30" customFormat="1" s="9">
      <c r="A30" s="9" t="inlineStr">
        <is>
          <t>Net profit</t>
        </is>
      </c>
      <c r="J30" t="n">
        <v>59.6</v>
      </c>
      <c r="K30" t="n">
        <v>171.05</v>
      </c>
    </row>
    <row r="31" customFormat="1" s="9">
      <c r="A31" s="9" t="inlineStr">
        <is>
          <t>Dividend Amount</t>
        </is>
      </c>
      <c r="K31" t="n">
        <v>61.03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C42" t="n">
        <v>1784.47</v>
      </c>
      <c r="D42" t="n">
        <v>1964.93</v>
      </c>
      <c r="E42" t="n">
        <v>2138.4</v>
      </c>
      <c r="F42" t="n">
        <v>1942.16</v>
      </c>
      <c r="G42" t="n">
        <v>1840.58</v>
      </c>
      <c r="H42" t="n">
        <v>2037.9</v>
      </c>
      <c r="I42" t="n">
        <v>2343.17</v>
      </c>
      <c r="J42" t="n">
        <v>2174.16</v>
      </c>
      <c r="K42" t="n">
        <v>2045.74</v>
      </c>
    </row>
    <row r="43" customFormat="1" s="9">
      <c r="A43" s="9" t="inlineStr">
        <is>
          <t>Expenses</t>
        </is>
      </c>
      <c r="C43" t="n">
        <v>1505.65</v>
      </c>
      <c r="D43" t="n">
        <v>1683.93</v>
      </c>
      <c r="E43" t="n">
        <v>1805.17</v>
      </c>
      <c r="F43" t="n">
        <v>1633.45</v>
      </c>
      <c r="G43" t="n">
        <v>1577.46</v>
      </c>
      <c r="H43" t="n">
        <v>1721.17</v>
      </c>
      <c r="I43" t="n">
        <v>1931.36</v>
      </c>
      <c r="J43" t="n">
        <v>1821.82</v>
      </c>
      <c r="K43" t="n">
        <v>1737.66</v>
      </c>
    </row>
    <row r="44" customFormat="1" s="9">
      <c r="A44" s="9" t="inlineStr">
        <is>
          <t>Other Income</t>
        </is>
      </c>
      <c r="C44" t="n">
        <v>14.09</v>
      </c>
      <c r="D44" t="n">
        <v>-77.97</v>
      </c>
      <c r="E44" t="n">
        <v>22.13</v>
      </c>
      <c r="F44" t="n">
        <v>21.13</v>
      </c>
      <c r="G44" t="n">
        <v>22.53</v>
      </c>
      <c r="H44" t="n">
        <v>21.12</v>
      </c>
      <c r="I44" t="n">
        <v>-22.26</v>
      </c>
      <c r="J44" t="n">
        <v>14.63</v>
      </c>
      <c r="K44" t="n">
        <v>18.46</v>
      </c>
    </row>
    <row r="45" customFormat="1" s="9">
      <c r="A45" s="9" t="inlineStr">
        <is>
          <t>Depreciation</t>
        </is>
      </c>
      <c r="C45" t="n">
        <v>162.34</v>
      </c>
      <c r="D45" t="n">
        <v>174.81</v>
      </c>
      <c r="E45" t="n">
        <v>175.88</v>
      </c>
      <c r="F45" t="n">
        <v>188.37</v>
      </c>
      <c r="G45" t="n">
        <v>172.51</v>
      </c>
      <c r="H45" t="n">
        <v>208.95</v>
      </c>
      <c r="I45" t="n">
        <v>203.68</v>
      </c>
      <c r="J45" t="n">
        <v>210.25</v>
      </c>
      <c r="K45" t="n">
        <v>204.12</v>
      </c>
    </row>
    <row r="46" customFormat="1" s="9">
      <c r="A46" s="9" t="inlineStr">
        <is>
          <t>Interest</t>
        </is>
      </c>
      <c r="C46" t="n">
        <v>97.42</v>
      </c>
      <c r="D46" t="n">
        <v>108.79</v>
      </c>
      <c r="E46" t="n">
        <v>96.34999999999999</v>
      </c>
      <c r="F46" t="n">
        <v>89.44</v>
      </c>
      <c r="G46" t="n">
        <v>84.97</v>
      </c>
      <c r="H46" t="n">
        <v>97.83</v>
      </c>
      <c r="I46" t="n">
        <v>95.36</v>
      </c>
      <c r="J46" t="n">
        <v>86.29000000000001</v>
      </c>
      <c r="K46" t="n">
        <v>83.25</v>
      </c>
    </row>
    <row r="47" customFormat="1" s="9">
      <c r="A47" s="9" t="inlineStr">
        <is>
          <t>Profit before tax</t>
        </is>
      </c>
      <c r="C47" t="n">
        <v>33.15</v>
      </c>
      <c r="D47" t="n">
        <v>-80.56999999999999</v>
      </c>
      <c r="E47" t="n">
        <v>83.13</v>
      </c>
      <c r="F47" t="n">
        <v>52.03</v>
      </c>
      <c r="G47" t="n">
        <v>28.17</v>
      </c>
      <c r="H47" t="n">
        <v>31.07</v>
      </c>
      <c r="I47" t="n">
        <v>90.51000000000001</v>
      </c>
      <c r="J47" t="n">
        <v>70.43000000000001</v>
      </c>
      <c r="K47" t="n">
        <v>39.17</v>
      </c>
    </row>
    <row r="48" customFormat="1" s="9">
      <c r="A48" s="9" t="inlineStr">
        <is>
          <t>Tax</t>
        </is>
      </c>
      <c r="C48" t="n">
        <v>10.22</v>
      </c>
      <c r="D48" t="n">
        <v>-21.8</v>
      </c>
      <c r="E48" t="n">
        <v>22.82</v>
      </c>
      <c r="F48" t="n">
        <v>13.66</v>
      </c>
      <c r="G48" t="n">
        <v>4.11</v>
      </c>
      <c r="H48" t="n">
        <v>7.63</v>
      </c>
      <c r="I48" t="n">
        <v>21.5</v>
      </c>
      <c r="J48" t="n">
        <v>15.91</v>
      </c>
      <c r="K48" t="n">
        <v>10.15</v>
      </c>
    </row>
    <row r="49" customFormat="1" s="9">
      <c r="A49" s="9" t="inlineStr">
        <is>
          <t>Net profit</t>
        </is>
      </c>
      <c r="C49" t="n">
        <v>22.93</v>
      </c>
      <c r="D49" t="n">
        <v>-58.77</v>
      </c>
      <c r="E49" t="n">
        <v>60.31</v>
      </c>
      <c r="F49" t="n">
        <v>38.37</v>
      </c>
      <c r="G49" t="n">
        <v>24.06</v>
      </c>
      <c r="H49" t="n">
        <v>23.44</v>
      </c>
      <c r="I49" t="n">
        <v>69.01000000000001</v>
      </c>
      <c r="J49" t="n">
        <v>54.52</v>
      </c>
      <c r="K49" t="n">
        <v>29.02</v>
      </c>
    </row>
    <row r="50">
      <c r="A50" s="9" t="inlineStr">
        <is>
          <t>Operating Profit</t>
        </is>
      </c>
      <c r="C50" t="n">
        <v>278.82</v>
      </c>
      <c r="D50" t="n">
        <v>281</v>
      </c>
      <c r="E50" t="n">
        <v>333.23</v>
      </c>
      <c r="F50" t="n">
        <v>308.71</v>
      </c>
      <c r="G50" t="n">
        <v>263.12</v>
      </c>
      <c r="H50" t="n">
        <v>316.73</v>
      </c>
      <c r="I50" t="n">
        <v>411.81</v>
      </c>
      <c r="J50" t="n">
        <v>352.34</v>
      </c>
      <c r="K50" t="n">
        <v>308.08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J57" t="n">
        <v>0.05</v>
      </c>
      <c r="K57" t="n">
        <v>1220.52</v>
      </c>
    </row>
    <row r="58">
      <c r="A58" s="9" t="inlineStr">
        <is>
          <t>Reserves</t>
        </is>
      </c>
      <c r="J58" t="n">
        <v>1276.48</v>
      </c>
      <c r="K58" t="n">
        <v>191.66</v>
      </c>
    </row>
    <row r="59">
      <c r="A59" s="9" t="inlineStr">
        <is>
          <t>Borrowings</t>
        </is>
      </c>
      <c r="J59" t="n">
        <v>2932.45</v>
      </c>
      <c r="K59" t="n">
        <v>3018.1</v>
      </c>
    </row>
    <row r="60">
      <c r="A60" s="9" t="inlineStr">
        <is>
          <t>Other Liabilities</t>
        </is>
      </c>
      <c r="J60" t="n">
        <v>4070.05</v>
      </c>
      <c r="K60" t="n">
        <v>4289.77</v>
      </c>
    </row>
    <row r="61" customFormat="1" s="1">
      <c r="A61" s="1" t="inlineStr">
        <is>
          <t>Total</t>
        </is>
      </c>
      <c r="J61" t="n">
        <v>8279.030000000001</v>
      </c>
      <c r="K61" t="n">
        <v>8720.049999999999</v>
      </c>
    </row>
    <row r="62">
      <c r="A62" s="9" t="inlineStr">
        <is>
          <t>Net Block</t>
        </is>
      </c>
      <c r="J62" t="n">
        <v>3280.18</v>
      </c>
      <c r="K62" t="n">
        <v>3609.06</v>
      </c>
    </row>
    <row r="63">
      <c r="A63" s="9" t="inlineStr">
        <is>
          <t>Capital Work in Progress</t>
        </is>
      </c>
      <c r="J63" t="n">
        <v>13</v>
      </c>
      <c r="K63" t="n">
        <v>45.99</v>
      </c>
    </row>
    <row r="64">
      <c r="A64" s="9" t="inlineStr">
        <is>
          <t>Investments</t>
        </is>
      </c>
      <c r="J64" t="n">
        <v>117.18</v>
      </c>
      <c r="K64" t="n">
        <v>16.34</v>
      </c>
    </row>
    <row r="65">
      <c r="A65" s="9" t="inlineStr">
        <is>
          <t>Other Assets</t>
        </is>
      </c>
      <c r="J65" t="n">
        <v>4868.67</v>
      </c>
      <c r="K65" t="n">
        <v>5048.66</v>
      </c>
    </row>
    <row r="66" customFormat="1" s="1">
      <c r="A66" s="1" t="inlineStr">
        <is>
          <t>Total</t>
        </is>
      </c>
      <c r="J66" t="n">
        <v>8279.030000000001</v>
      </c>
      <c r="K66" t="n">
        <v>8720.049999999999</v>
      </c>
    </row>
    <row r="67" customFormat="1" s="9">
      <c r="A67" s="9" t="inlineStr">
        <is>
          <t>Receivables</t>
        </is>
      </c>
      <c r="J67" t="n">
        <v>1322.05</v>
      </c>
      <c r="K67" t="n">
        <v>1198.1</v>
      </c>
    </row>
    <row r="68">
      <c r="A68" s="9" t="inlineStr">
        <is>
          <t>Inventory</t>
        </is>
      </c>
      <c r="J68" t="n">
        <v>2108.82</v>
      </c>
      <c r="K68" t="n">
        <v>2348.53</v>
      </c>
    </row>
    <row r="69">
      <c r="A69" s="21" t="inlineStr">
        <is>
          <t>Cash &amp; Bank</t>
        </is>
      </c>
      <c r="J69" t="n">
        <v>53.65</v>
      </c>
      <c r="K69" t="n">
        <v>91.51000000000001</v>
      </c>
    </row>
    <row r="70">
      <c r="A70" s="21" t="inlineStr">
        <is>
          <t>No. of Equity Shares</t>
        </is>
      </c>
      <c r="J70" t="n">
        <v>50000</v>
      </c>
      <c r="K70" t="n">
        <v>1220521649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J82" t="n">
        <v>1144.17</v>
      </c>
      <c r="K82" t="n">
        <v>1218.81</v>
      </c>
    </row>
    <row r="83" customFormat="1" s="9">
      <c r="A83" s="9" t="inlineStr">
        <is>
          <t>Cash from Investing Activity</t>
        </is>
      </c>
      <c r="J83" t="n">
        <v>6.95</v>
      </c>
      <c r="K83" t="n">
        <v>-198.1</v>
      </c>
    </row>
    <row r="84" customFormat="1" s="9">
      <c r="A84" s="9" t="inlineStr">
        <is>
          <t>Cash from Financing Activity</t>
        </is>
      </c>
      <c r="J84" t="n">
        <v>-1230.41</v>
      </c>
      <c r="K84" t="n">
        <v>-982.8099999999999</v>
      </c>
    </row>
    <row r="85" customFormat="1" s="1">
      <c r="A85" s="9" t="inlineStr">
        <is>
          <t>Net Cash Flow</t>
        </is>
      </c>
      <c r="J85" t="n">
        <v>-79.29000000000001</v>
      </c>
      <c r="K85" t="n">
        <v>37.9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88.23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>
        <f>IF($B7&gt;0,(J70*J72/$B7)+SUM(K71:$K71),0)/10000000</f>
        <v/>
      </c>
      <c r="K93" s="31" t="n">
        <v>122.05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2026-09-15T17:23:17Z</dcterms:modified>
  <cp:lastModifiedBy>Pratyush Mittal</cp:lastModifiedBy>
  <cp:lastPrinted>2012-12-06T18:14:13Z</cp:lastPrinted>
</cp:coreProperties>
</file>