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BILLIONBRAINS GARAGE VENTURES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200.05</v>
      </c>
    </row>
    <row r="9">
      <c r="A9" s="21" t="inlineStr">
        <is>
          <t>Market Capitalization</t>
        </is>
      </c>
      <c r="B9" t="n">
        <v>125503.26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/>
      <c r="F16" s="16" t="n"/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G17" t="n">
        <v>427.19</v>
      </c>
      <c r="H17" t="n">
        <v>1141.53</v>
      </c>
      <c r="I17" t="n">
        <v>2793.65</v>
      </c>
      <c r="J17" t="n">
        <v>4061.15</v>
      </c>
      <c r="K17" t="n">
        <v>4644.58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</row>
    <row r="21" customFormat="1" s="9">
      <c r="A21" s="21" t="inlineStr">
        <is>
          <t>Other Mfr. Exp</t>
        </is>
      </c>
      <c r="H21" t="n">
        <v>135.23</v>
      </c>
      <c r="I21" t="n">
        <v>1.14</v>
      </c>
      <c r="J21" t="n">
        <v>0.72</v>
      </c>
    </row>
    <row r="22" customFormat="1" s="9">
      <c r="A22" s="21" t="inlineStr">
        <is>
          <t>Employee Cost</t>
        </is>
      </c>
      <c r="G22" t="n">
        <v>229.99</v>
      </c>
      <c r="H22" t="n">
        <v>286.85</v>
      </c>
      <c r="I22" t="n">
        <v>1188.63</v>
      </c>
      <c r="J22" t="n">
        <v>317.79</v>
      </c>
      <c r="K22" t="n">
        <v>590.83</v>
      </c>
    </row>
    <row r="23" customFormat="1" s="9">
      <c r="A23" s="21" t="inlineStr">
        <is>
          <t>Selling and admin</t>
        </is>
      </c>
      <c r="G23" t="n">
        <v>428.24</v>
      </c>
      <c r="H23" t="n">
        <v>312.64</v>
      </c>
      <c r="I23" t="n">
        <v>846.0700000000001</v>
      </c>
      <c r="J23" t="n">
        <v>1129.48</v>
      </c>
    </row>
    <row r="24" customFormat="1" s="9">
      <c r="A24" s="21" t="inlineStr">
        <is>
          <t>Other Expenses</t>
        </is>
      </c>
      <c r="G24" t="n">
        <v>2.36</v>
      </c>
      <c r="H24" t="n">
        <v>8.029999999999999</v>
      </c>
      <c r="I24" t="n">
        <v>14.64</v>
      </c>
      <c r="J24" t="n">
        <v>82.72</v>
      </c>
      <c r="K24" t="n">
        <v>1309.82</v>
      </c>
    </row>
    <row r="25" customFormat="1" s="9">
      <c r="A25" s="9" t="inlineStr">
        <is>
          <t>Other Income</t>
        </is>
      </c>
      <c r="H25" t="n">
        <v>119.43</v>
      </c>
      <c r="I25" t="n">
        <v>-1337.34</v>
      </c>
      <c r="J25" t="n">
        <v>0.49</v>
      </c>
      <c r="K25" t="n">
        <v>171.3</v>
      </c>
    </row>
    <row r="26" customFormat="1" s="9">
      <c r="A26" s="9" t="inlineStr">
        <is>
          <t>Depreciation</t>
        </is>
      </c>
      <c r="G26" t="n">
        <v>3.04</v>
      </c>
      <c r="H26" t="n">
        <v>12.3</v>
      </c>
      <c r="I26" t="n">
        <v>20.12</v>
      </c>
      <c r="J26" t="n">
        <v>24.6</v>
      </c>
      <c r="K26" t="n">
        <v>47.87</v>
      </c>
    </row>
    <row r="27" customFormat="1" s="9">
      <c r="A27" s="9" t="inlineStr">
        <is>
          <t>Interest</t>
        </is>
      </c>
      <c r="G27" t="n">
        <v>0.03</v>
      </c>
      <c r="H27" t="n">
        <v>2.07</v>
      </c>
      <c r="I27" t="n">
        <v>4.2</v>
      </c>
      <c r="J27" t="n">
        <v>42.55</v>
      </c>
      <c r="K27" t="n">
        <v>45.94</v>
      </c>
    </row>
    <row r="28" customFormat="1" s="9">
      <c r="A28" s="9" t="inlineStr">
        <is>
          <t>Profit before tax</t>
        </is>
      </c>
      <c r="G28" t="n">
        <v>-236.47</v>
      </c>
      <c r="H28" t="n">
        <v>503.84</v>
      </c>
      <c r="I28" t="n">
        <v>-618.49</v>
      </c>
      <c r="J28" t="n">
        <v>2463.78</v>
      </c>
      <c r="K28" t="n">
        <v>2821.41</v>
      </c>
    </row>
    <row r="29" customFormat="1" s="9">
      <c r="A29" s="9" t="inlineStr">
        <is>
          <t>Tax</t>
        </is>
      </c>
      <c r="G29" t="n">
        <v>2.54</v>
      </c>
      <c r="H29" t="n">
        <v>46.13</v>
      </c>
      <c r="I29" t="n">
        <v>186.97</v>
      </c>
      <c r="J29" t="n">
        <v>639.41</v>
      </c>
      <c r="K29" t="n">
        <v>738.41</v>
      </c>
    </row>
    <row r="30" customFormat="1" s="9">
      <c r="A30" s="9" t="inlineStr">
        <is>
          <t>Net profit</t>
        </is>
      </c>
      <c r="G30" t="n">
        <v>-239.46</v>
      </c>
      <c r="H30" t="n">
        <v>457.66</v>
      </c>
      <c r="I30" t="n">
        <v>-804.9400000000001</v>
      </c>
      <c r="J30" t="n">
        <v>1824.37</v>
      </c>
      <c r="K30" t="n">
        <v>2083</v>
      </c>
    </row>
    <row r="31" customFormat="1" s="9">
      <c r="A31" s="9" t="inlineStr">
        <is>
          <t>Dividend Amount</t>
        </is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/>
      <c r="C41" s="16" t="n"/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D42" t="n">
        <v>1125.39</v>
      </c>
      <c r="E42" t="n">
        <v>974.54</v>
      </c>
      <c r="F42" t="n">
        <v>801.01</v>
      </c>
      <c r="G42" t="n">
        <v>904.4</v>
      </c>
      <c r="H42" t="n">
        <v>1018.74</v>
      </c>
      <c r="I42" t="n">
        <v>1216.07</v>
      </c>
      <c r="J42" t="n">
        <v>1505.37</v>
      </c>
      <c r="K42" t="n">
        <v>1501.42</v>
      </c>
    </row>
    <row r="43" customFormat="1" s="9">
      <c r="A43" s="9" t="inlineStr">
        <is>
          <t>Expenses</t>
        </is>
      </c>
      <c r="D43" t="n">
        <v>575.17</v>
      </c>
      <c r="E43" t="n">
        <v>-39.8</v>
      </c>
      <c r="F43" t="n">
        <v>413.31</v>
      </c>
      <c r="G43" t="n">
        <v>421.74</v>
      </c>
      <c r="H43" t="n">
        <v>415.29</v>
      </c>
      <c r="I43" t="n">
        <v>496.24</v>
      </c>
      <c r="J43" t="n">
        <v>567.38</v>
      </c>
      <c r="K43" t="n">
        <v>531.46</v>
      </c>
    </row>
    <row r="44" customFormat="1" s="9">
      <c r="A44" s="9" t="inlineStr">
        <is>
          <t>Other Income</t>
        </is>
      </c>
      <c r="D44" t="n">
        <v>34.66</v>
      </c>
      <c r="E44" t="n">
        <v>29.91</v>
      </c>
      <c r="F44" t="n">
        <v>48.57</v>
      </c>
      <c r="G44" t="n">
        <v>44.07</v>
      </c>
      <c r="H44" t="n">
        <v>52.06</v>
      </c>
      <c r="I44" t="n">
        <v>45</v>
      </c>
      <c r="J44" t="n">
        <v>30.17</v>
      </c>
      <c r="K44" t="n">
        <v>47.25</v>
      </c>
    </row>
    <row r="45" customFormat="1" s="9">
      <c r="A45" s="9" t="inlineStr">
        <is>
          <t>Depreciation</t>
        </is>
      </c>
      <c r="D45" t="n">
        <v>6.25</v>
      </c>
      <c r="E45" t="n">
        <v>6.52</v>
      </c>
      <c r="F45" t="n">
        <v>6.64</v>
      </c>
      <c r="G45" t="n">
        <v>7.14</v>
      </c>
      <c r="H45" t="n">
        <v>6.8</v>
      </c>
      <c r="I45" t="n">
        <v>9.48</v>
      </c>
      <c r="J45" t="n">
        <v>24.46</v>
      </c>
      <c r="K45" t="n">
        <v>17.63</v>
      </c>
    </row>
    <row r="46" customFormat="1" s="9">
      <c r="A46" s="9" t="inlineStr">
        <is>
          <t>Interest</t>
        </is>
      </c>
      <c r="D46" t="n">
        <v>8.640000000000001</v>
      </c>
      <c r="E46" t="n">
        <v>16.16</v>
      </c>
      <c r="F46" t="n">
        <v>15.93</v>
      </c>
      <c r="G46" t="n">
        <v>16.42</v>
      </c>
      <c r="H46" t="n">
        <v>11.03</v>
      </c>
      <c r="I46" t="n">
        <v>10.5</v>
      </c>
      <c r="J46" t="n">
        <v>8</v>
      </c>
      <c r="K46" t="n">
        <v>7.31</v>
      </c>
    </row>
    <row r="47" customFormat="1" s="9">
      <c r="A47" s="9" t="inlineStr">
        <is>
          <t>Profit before tax</t>
        </is>
      </c>
      <c r="D47" t="n">
        <v>569.99</v>
      </c>
      <c r="E47" t="n">
        <v>1021.57</v>
      </c>
      <c r="F47" t="n">
        <v>413.7</v>
      </c>
      <c r="G47" t="n">
        <v>503.17</v>
      </c>
      <c r="H47" t="n">
        <v>637.6799999999999</v>
      </c>
      <c r="I47" t="n">
        <v>744.85</v>
      </c>
      <c r="J47" t="n">
        <v>935.7</v>
      </c>
      <c r="K47" t="n">
        <v>992.27</v>
      </c>
    </row>
    <row r="48" customFormat="1" s="9">
      <c r="A48" s="9" t="inlineStr">
        <is>
          <t>Tax</t>
        </is>
      </c>
      <c r="D48" t="n">
        <v>149.83</v>
      </c>
      <c r="E48" t="n">
        <v>264.46</v>
      </c>
      <c r="F48" t="n">
        <v>104.6</v>
      </c>
      <c r="G48" t="n">
        <v>124.82</v>
      </c>
      <c r="H48" t="n">
        <v>166.34</v>
      </c>
      <c r="I48" t="n">
        <v>197.92</v>
      </c>
      <c r="J48" t="n">
        <v>249.34</v>
      </c>
      <c r="K48" t="n">
        <v>257.23</v>
      </c>
    </row>
    <row r="49" customFormat="1" s="9">
      <c r="A49" s="9" t="inlineStr">
        <is>
          <t>Net profit</t>
        </is>
      </c>
      <c r="D49" t="n">
        <v>420.16</v>
      </c>
      <c r="E49" t="n">
        <v>757.11</v>
      </c>
      <c r="F49" t="n">
        <v>309.09</v>
      </c>
      <c r="G49" t="n">
        <v>378.35</v>
      </c>
      <c r="H49" t="n">
        <v>471.34</v>
      </c>
      <c r="I49" t="n">
        <v>546.9299999999999</v>
      </c>
      <c r="J49" t="n">
        <v>686.36</v>
      </c>
      <c r="K49" t="n">
        <v>735.04</v>
      </c>
    </row>
    <row r="50">
      <c r="A50" s="9" t="inlineStr">
        <is>
          <t>Operating Profit</t>
        </is>
      </c>
      <c r="D50" t="n">
        <v>550.22</v>
      </c>
      <c r="E50" t="n">
        <v>1014.34</v>
      </c>
      <c r="F50" t="n">
        <v>387.7</v>
      </c>
      <c r="G50" t="n">
        <v>482.66</v>
      </c>
      <c r="H50" t="n">
        <v>603.45</v>
      </c>
      <c r="I50" t="n">
        <v>719.83</v>
      </c>
      <c r="J50" t="n">
        <v>937.99</v>
      </c>
      <c r="K50" t="n">
        <v>969.96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/>
      <c r="F56" s="16" t="n"/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G57" t="n">
        <v>0.11</v>
      </c>
      <c r="H57" t="n">
        <v>20.66</v>
      </c>
      <c r="I57" t="n">
        <v>20.73</v>
      </c>
      <c r="J57" t="n">
        <v>365.63</v>
      </c>
      <c r="K57" t="n">
        <v>1247.81</v>
      </c>
    </row>
    <row r="58">
      <c r="A58" s="9" t="inlineStr">
        <is>
          <t>Reserves</t>
        </is>
      </c>
      <c r="G58" t="n">
        <v>2706.02</v>
      </c>
      <c r="H58" t="n">
        <v>3251.92</v>
      </c>
      <c r="I58" t="n">
        <v>2477.76</v>
      </c>
      <c r="J58" t="n">
        <v>4445.63</v>
      </c>
      <c r="K58" t="n">
        <v>8403.549999999999</v>
      </c>
    </row>
    <row r="59">
      <c r="A59" s="9" t="inlineStr">
        <is>
          <t>Borrowings</t>
        </is>
      </c>
      <c r="H59" t="n">
        <v>75.18000000000001</v>
      </c>
      <c r="I59" t="n">
        <v>91.09</v>
      </c>
      <c r="J59" t="n">
        <v>610.33</v>
      </c>
      <c r="K59" t="n">
        <v>292.22</v>
      </c>
    </row>
    <row r="60">
      <c r="A60" s="9" t="inlineStr">
        <is>
          <t>Other Liabilities</t>
        </is>
      </c>
      <c r="G60" t="n">
        <v>1291.12</v>
      </c>
      <c r="H60" t="n">
        <v>1460.02</v>
      </c>
      <c r="I60" t="n">
        <v>5428.39</v>
      </c>
      <c r="J60" t="n">
        <v>4654.26</v>
      </c>
      <c r="K60" t="n">
        <v>8567.049999999999</v>
      </c>
    </row>
    <row r="61" customFormat="1" s="1">
      <c r="A61" s="1" t="inlineStr">
        <is>
          <t>Total</t>
        </is>
      </c>
      <c r="G61" t="n">
        <v>3997.25</v>
      </c>
      <c r="H61" t="n">
        <v>4807.78</v>
      </c>
      <c r="I61" t="n">
        <v>8017.97</v>
      </c>
      <c r="J61" t="n">
        <v>10075.85</v>
      </c>
      <c r="K61" t="n">
        <v>18510.63</v>
      </c>
    </row>
    <row r="62">
      <c r="A62" s="9" t="inlineStr">
        <is>
          <t>Net Block</t>
        </is>
      </c>
      <c r="G62" t="n">
        <v>286.27</v>
      </c>
      <c r="H62" t="n">
        <v>320.76</v>
      </c>
      <c r="I62" t="n">
        <v>395.73</v>
      </c>
      <c r="J62" t="n">
        <v>401.52</v>
      </c>
      <c r="K62" t="n">
        <v>1491.74</v>
      </c>
    </row>
    <row r="63">
      <c r="A63" s="9" t="inlineStr">
        <is>
          <t>Capital Work in Progress</t>
        </is>
      </c>
    </row>
    <row r="64">
      <c r="A64" s="9" t="inlineStr">
        <is>
          <t>Investments</t>
        </is>
      </c>
      <c r="G64" t="n">
        <v>279.72</v>
      </c>
      <c r="H64" t="n">
        <v>1251.53</v>
      </c>
      <c r="I64" t="n">
        <v>1448.39</v>
      </c>
      <c r="J64" t="n">
        <v>1906.83</v>
      </c>
      <c r="K64" t="n">
        <v>2637.6</v>
      </c>
    </row>
    <row r="65">
      <c r="A65" s="9" t="inlineStr">
        <is>
          <t>Other Assets</t>
        </is>
      </c>
      <c r="G65" t="n">
        <v>3431.26</v>
      </c>
      <c r="H65" t="n">
        <v>3235.49</v>
      </c>
      <c r="I65" t="n">
        <v>6173.85</v>
      </c>
      <c r="J65" t="n">
        <v>7767.5</v>
      </c>
      <c r="K65" t="n">
        <v>14381.29</v>
      </c>
    </row>
    <row r="66" customFormat="1" s="1">
      <c r="A66" s="1" t="inlineStr">
        <is>
          <t>Total</t>
        </is>
      </c>
      <c r="G66" t="n">
        <v>3997.25</v>
      </c>
      <c r="H66" t="n">
        <v>4807.78</v>
      </c>
      <c r="I66" t="n">
        <v>8017.97</v>
      </c>
      <c r="J66" t="n">
        <v>10075.85</v>
      </c>
      <c r="K66" t="n">
        <v>18510.63</v>
      </c>
    </row>
    <row r="67" customFormat="1" s="9">
      <c r="A67" s="9" t="inlineStr">
        <is>
          <t>Receivables</t>
        </is>
      </c>
      <c r="G67" t="n">
        <v>14.27</v>
      </c>
      <c r="H67" t="n">
        <v>36.22</v>
      </c>
      <c r="I67" t="n">
        <v>69.40000000000001</v>
      </c>
      <c r="J67" t="n">
        <v>96.79000000000001</v>
      </c>
      <c r="K67" t="n">
        <v>277.46</v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G69" t="n">
        <v>564.5700000000001</v>
      </c>
      <c r="H69" t="n">
        <v>1660.97</v>
      </c>
      <c r="I69" t="n">
        <v>3682.17</v>
      </c>
      <c r="J69" t="n">
        <v>4256.19</v>
      </c>
      <c r="K69" t="n">
        <v>8338.84</v>
      </c>
    </row>
    <row r="70">
      <c r="A70" s="21" t="inlineStr">
        <is>
          <t>No. of Equity Shares</t>
        </is>
      </c>
      <c r="G70" t="n">
        <v>1116395</v>
      </c>
      <c r="H70" t="n">
        <v>20660778</v>
      </c>
      <c r="I70" t="n">
        <v>20733030</v>
      </c>
      <c r="J70" t="n">
        <v>1828218750</v>
      </c>
      <c r="K70" t="n">
        <v>6273596631</v>
      </c>
    </row>
    <row r="71">
      <c r="A71" s="21" t="inlineStr">
        <is>
          <t>New Bonus Shares</t>
        </is>
      </c>
      <c r="J71" t="n">
        <v>290262420</v>
      </c>
    </row>
    <row r="72">
      <c r="A72" s="21" t="inlineStr">
        <is>
          <t>Face value</t>
        </is>
      </c>
      <c r="G72" t="n">
        <v>1</v>
      </c>
      <c r="H72" t="n">
        <v>10</v>
      </c>
      <c r="I72" t="n">
        <v>10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/>
      <c r="F81" s="16" t="n"/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G82" t="n">
        <v>-348.74</v>
      </c>
      <c r="H82" t="n">
        <v>547.8200000000001</v>
      </c>
      <c r="I82" t="n">
        <v>884.97</v>
      </c>
      <c r="J82" t="n">
        <v>-962.16</v>
      </c>
      <c r="K82" t="n">
        <v>-20.6</v>
      </c>
    </row>
    <row r="83" customFormat="1" s="9">
      <c r="A83" s="9" t="inlineStr">
        <is>
          <t>Cash from Investing Activity</t>
        </is>
      </c>
      <c r="G83" t="n">
        <v>-1511.79</v>
      </c>
      <c r="H83" t="n">
        <v>-363.41</v>
      </c>
      <c r="I83" t="n">
        <v>-909.66</v>
      </c>
      <c r="J83" t="n">
        <v>139.73</v>
      </c>
      <c r="K83" t="n">
        <v>-1350.51</v>
      </c>
    </row>
    <row r="84" customFormat="1" s="9">
      <c r="A84" s="9" t="inlineStr">
        <is>
          <t>Cash from Financing Activity</t>
        </is>
      </c>
      <c r="G84" t="n">
        <v>1874.49</v>
      </c>
      <c r="H84" t="n">
        <v>-5.46</v>
      </c>
      <c r="I84" t="n">
        <v>3.74</v>
      </c>
      <c r="J84" t="n">
        <v>875.66</v>
      </c>
      <c r="K84" t="n">
        <v>2175.47</v>
      </c>
    </row>
    <row r="85" customFormat="1" s="1">
      <c r="A85" s="9" t="inlineStr">
        <is>
          <t>Net Cash Flow</t>
        </is>
      </c>
      <c r="G85" t="n">
        <v>13.96</v>
      </c>
      <c r="H85" t="n">
        <v>178.96</v>
      </c>
      <c r="I85" t="n">
        <v>-20.95</v>
      </c>
      <c r="J85" t="n">
        <v>53.22</v>
      </c>
      <c r="K85" t="n">
        <v>804.36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K90" t="n">
        <v>150.12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>
        <f>IF($B7&gt;0,(E70*E72/$B7)+SUM(F71:$K71),0)/10000000</f>
        <v/>
      </c>
      <c r="F93" s="31">
        <f>IF($B7&gt;0,(F70*F72/$B7)+SUM(G71:$K71),0)/10000000</f>
        <v/>
      </c>
      <c r="G93" s="31" t="n">
        <v>0.11</v>
      </c>
      <c r="H93" s="31" t="n">
        <v>6.81</v>
      </c>
      <c r="I93" s="31" t="n">
        <v>6.81</v>
      </c>
      <c r="J93" s="31" t="n">
        <v>182.82</v>
      </c>
      <c r="K93" s="31" t="n">
        <v>627.36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2026-09-15T17:23:49Z</dcterms:modified>
  <cp:lastModifiedBy>Pratyush Mittal</cp:lastModifiedBy>
  <cp:lastPrinted>2012-12-06T18:14:13Z</cp:lastPrinted>
</cp:coreProperties>
</file>