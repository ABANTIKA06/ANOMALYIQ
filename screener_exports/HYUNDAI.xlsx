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HYUNDAI MOTOR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2152.85</v>
      </c>
    </row>
    <row r="9">
      <c r="A9" s="21" t="inlineStr">
        <is>
          <t>Market Capitalization</t>
        </is>
      </c>
      <c r="B9" t="n">
        <v>174927.91</v>
      </c>
    </row>
    <row r="10">
      <c r="A10" t="inlineStr">
        <is>
          <t>Industry</t>
        </is>
      </c>
      <c r="B10" t="inlineStr">
        <is>
          <t>Automobile and Auto Components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F17" t="n">
        <v>40972.25</v>
      </c>
      <c r="G17" t="n">
        <v>47378.43</v>
      </c>
      <c r="H17" t="n">
        <v>60307.58</v>
      </c>
      <c r="I17" t="n">
        <v>69829.06</v>
      </c>
      <c r="J17" t="n">
        <v>69192.89</v>
      </c>
      <c r="K17" t="n">
        <v>70763.33</v>
      </c>
    </row>
    <row r="18" customFormat="1" s="9">
      <c r="A18" s="21" t="inlineStr">
        <is>
          <t>Raw Material Cost</t>
        </is>
      </c>
      <c r="F18" t="n">
        <v>31224.98</v>
      </c>
      <c r="G18" t="n">
        <v>35887.21</v>
      </c>
      <c r="H18" t="n">
        <v>45165.05</v>
      </c>
      <c r="I18" t="n">
        <v>51731.42</v>
      </c>
      <c r="J18" t="n">
        <v>50147.63</v>
      </c>
      <c r="K18" t="n">
        <v>50577.16</v>
      </c>
    </row>
    <row r="19" customFormat="1" s="9">
      <c r="A19" s="21" t="inlineStr">
        <is>
          <t>Change in Inventory</t>
        </is>
      </c>
      <c r="F19" t="n">
        <v>-104.81</v>
      </c>
      <c r="G19" t="n">
        <v>62.12</v>
      </c>
      <c r="H19" t="n">
        <v>135.12</v>
      </c>
      <c r="I19" t="n">
        <v>138.47</v>
      </c>
      <c r="J19" t="n">
        <v>177.24</v>
      </c>
      <c r="K19" t="n">
        <v>56.65</v>
      </c>
    </row>
    <row r="20" customFormat="1" s="9">
      <c r="A20" s="21" t="inlineStr">
        <is>
          <t>Power and Fuel</t>
        </is>
      </c>
      <c r="F20" t="n">
        <v>222.03</v>
      </c>
      <c r="G20" t="n">
        <v>265.08</v>
      </c>
      <c r="H20" t="n">
        <v>301.07</v>
      </c>
      <c r="I20" t="n">
        <v>340.98</v>
      </c>
      <c r="J20" t="n">
        <v>343.68</v>
      </c>
      <c r="K20" t="n">
        <v>392.89</v>
      </c>
    </row>
    <row r="21" customFormat="1" s="9">
      <c r="A21" s="21" t="inlineStr">
        <is>
          <t>Other Mfr. Exp</t>
        </is>
      </c>
      <c r="F21" t="n">
        <v>417.17</v>
      </c>
      <c r="G21" t="n">
        <v>531.38</v>
      </c>
      <c r="H21" t="n">
        <v>646.65</v>
      </c>
      <c r="I21" t="n">
        <v>444.91</v>
      </c>
      <c r="J21" t="n">
        <v>773.8099999999999</v>
      </c>
      <c r="K21" t="n">
        <v>1001.02</v>
      </c>
    </row>
    <row r="22" customFormat="1" s="9">
      <c r="A22" s="21" t="inlineStr">
        <is>
          <t>Employee Cost</t>
        </is>
      </c>
      <c r="F22" t="n">
        <v>1464.86</v>
      </c>
      <c r="G22" t="n">
        <v>1647.64</v>
      </c>
      <c r="H22" t="n">
        <v>1766.23</v>
      </c>
      <c r="I22" t="n">
        <v>1975.49</v>
      </c>
      <c r="J22" t="n">
        <v>2311.21</v>
      </c>
      <c r="K22" t="n">
        <v>2747.44</v>
      </c>
    </row>
    <row r="23" customFormat="1" s="9">
      <c r="A23" s="21" t="inlineStr">
        <is>
          <t>Selling and admin</t>
        </is>
      </c>
      <c r="F23" t="n">
        <v>2949.3</v>
      </c>
      <c r="G23" t="n">
        <v>3278.03</v>
      </c>
      <c r="H23" t="n">
        <v>4577.98</v>
      </c>
      <c r="I23" t="n">
        <v>5668.96</v>
      </c>
      <c r="J23" t="n">
        <v>6146.82</v>
      </c>
      <c r="K23" t="n">
        <v>6653.96</v>
      </c>
    </row>
    <row r="24" customFormat="1" s="9">
      <c r="A24" s="21" t="inlineStr">
        <is>
          <t>Other Expenses</t>
        </is>
      </c>
      <c r="F24" t="n">
        <v>340.54</v>
      </c>
      <c r="G24" t="n">
        <v>339.82</v>
      </c>
      <c r="H24" t="n">
        <v>431.61</v>
      </c>
      <c r="I24" t="n">
        <v>727.1900000000001</v>
      </c>
      <c r="J24" t="n">
        <v>731.52</v>
      </c>
      <c r="K24" t="n">
        <v>886.03</v>
      </c>
    </row>
    <row r="25" customFormat="1" s="9">
      <c r="A25" s="9" t="inlineStr">
        <is>
          <t>Other Income</t>
        </is>
      </c>
      <c r="F25" t="n">
        <v>429.5</v>
      </c>
      <c r="G25" t="n">
        <v>582.3099999999999</v>
      </c>
      <c r="H25" t="n">
        <v>1123.73</v>
      </c>
      <c r="I25" t="n">
        <v>1527.31</v>
      </c>
      <c r="J25" t="n">
        <v>908.35</v>
      </c>
      <c r="K25" t="n">
        <v>986.04</v>
      </c>
    </row>
    <row r="26" customFormat="1" s="9">
      <c r="A26" s="9" t="inlineStr">
        <is>
          <t>Depreciation</t>
        </is>
      </c>
      <c r="F26" t="n">
        <v>1973.16</v>
      </c>
      <c r="G26" t="n">
        <v>2169.59</v>
      </c>
      <c r="H26" t="n">
        <v>2189.87</v>
      </c>
      <c r="I26" t="n">
        <v>2207.93</v>
      </c>
      <c r="J26" t="n">
        <v>2105.26</v>
      </c>
      <c r="K26" t="n">
        <v>2198</v>
      </c>
    </row>
    <row r="27" customFormat="1" s="9">
      <c r="A27" s="9" t="inlineStr">
        <is>
          <t>Interest</t>
        </is>
      </c>
      <c r="F27" t="n">
        <v>164.65</v>
      </c>
      <c r="G27" t="n">
        <v>131.91</v>
      </c>
      <c r="H27" t="n">
        <v>142.4</v>
      </c>
      <c r="I27" t="n">
        <v>158.08</v>
      </c>
      <c r="J27" t="n">
        <v>127.2</v>
      </c>
      <c r="K27" t="n">
        <v>106.47</v>
      </c>
    </row>
    <row r="28" customFormat="1" s="9">
      <c r="A28" s="9" t="inlineStr">
        <is>
          <t>Profit before tax</t>
        </is>
      </c>
      <c r="F28" t="n">
        <v>2540.25</v>
      </c>
      <c r="G28" t="n">
        <v>3772.2</v>
      </c>
      <c r="H28" t="n">
        <v>6345.57</v>
      </c>
      <c r="I28" t="n">
        <v>8239.879999999999</v>
      </c>
      <c r="J28" t="n">
        <v>7591.35</v>
      </c>
      <c r="K28" t="n">
        <v>7243.05</v>
      </c>
    </row>
    <row r="29" customFormat="1" s="9">
      <c r="A29" s="9" t="inlineStr">
        <is>
          <t>Tax</t>
        </is>
      </c>
      <c r="F29" t="n">
        <v>659.09</v>
      </c>
      <c r="G29" t="n">
        <v>870.62</v>
      </c>
      <c r="H29" t="n">
        <v>1636.32</v>
      </c>
      <c r="I29" t="n">
        <v>2179.83</v>
      </c>
      <c r="J29" t="n">
        <v>1951.13</v>
      </c>
      <c r="K29" t="n">
        <v>1811.54</v>
      </c>
    </row>
    <row r="30" customFormat="1" s="9">
      <c r="A30" s="9" t="inlineStr">
        <is>
          <t>Net profit</t>
        </is>
      </c>
      <c r="F30" t="n">
        <v>1881.16</v>
      </c>
      <c r="G30" t="n">
        <v>2901.59</v>
      </c>
      <c r="H30" t="n">
        <v>4709.25</v>
      </c>
      <c r="I30" t="n">
        <v>6060.04</v>
      </c>
      <c r="J30" t="n">
        <v>5640.21</v>
      </c>
      <c r="K30" t="n">
        <v>5431.52</v>
      </c>
    </row>
    <row r="31" customFormat="1" s="9">
      <c r="A31" s="9" t="inlineStr">
        <is>
          <t>Dividend Amount</t>
        </is>
      </c>
      <c r="F31" t="n">
        <v>1359.38</v>
      </c>
      <c r="G31" t="n">
        <v>1493.45</v>
      </c>
      <c r="H31" t="n">
        <v>4653.42</v>
      </c>
      <c r="I31" t="n">
        <v>1078.24</v>
      </c>
      <c r="J31" t="n">
        <v>1706.33</v>
      </c>
      <c r="K31" t="n">
        <v>1706.33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17671.15</v>
      </c>
      <c r="C42" t="n">
        <v>17344.24</v>
      </c>
      <c r="D42" t="n">
        <v>17260.39</v>
      </c>
      <c r="E42" t="n">
        <v>16648</v>
      </c>
      <c r="F42" t="n">
        <v>17940.28</v>
      </c>
      <c r="G42" t="n">
        <v>16412.88</v>
      </c>
      <c r="H42" t="n">
        <v>17460.82</v>
      </c>
      <c r="I42" t="n">
        <v>17973.49</v>
      </c>
      <c r="J42" t="n">
        <v>18916.15</v>
      </c>
      <c r="K42" t="n">
        <v>16334.63</v>
      </c>
    </row>
    <row r="43" customFormat="1" s="9">
      <c r="A43" s="9" t="inlineStr">
        <is>
          <t>Expenses</t>
        </is>
      </c>
      <c r="B43" t="n">
        <v>15149.3</v>
      </c>
      <c r="C43" t="n">
        <v>15003.99</v>
      </c>
      <c r="D43" t="n">
        <v>15055.09</v>
      </c>
      <c r="E43" t="n">
        <v>14772.47</v>
      </c>
      <c r="F43" t="n">
        <v>15407.61</v>
      </c>
      <c r="G43" t="n">
        <v>14227.64</v>
      </c>
      <c r="H43" t="n">
        <v>15031.89</v>
      </c>
      <c r="I43" t="n">
        <v>15955.14</v>
      </c>
      <c r="J43" t="n">
        <v>16950.18</v>
      </c>
      <c r="K43" t="n">
        <v>14822.92</v>
      </c>
    </row>
    <row r="44" customFormat="1" s="9">
      <c r="A44" s="9" t="inlineStr">
        <is>
          <t>Other Income</t>
        </is>
      </c>
      <c r="B44" t="n">
        <v>333.09</v>
      </c>
      <c r="C44" t="n">
        <v>223.75</v>
      </c>
      <c r="D44" t="n">
        <v>192.26</v>
      </c>
      <c r="E44" t="n">
        <v>244.46</v>
      </c>
      <c r="F44" t="n">
        <v>209.58</v>
      </c>
      <c r="G44" t="n">
        <v>214.79</v>
      </c>
      <c r="H44" t="n">
        <v>231.21</v>
      </c>
      <c r="I44" t="n">
        <v>243.65</v>
      </c>
      <c r="J44" t="n">
        <v>259.38</v>
      </c>
      <c r="K44" t="n">
        <v>274.37</v>
      </c>
    </row>
    <row r="45" customFormat="1" s="9">
      <c r="A45" s="9" t="inlineStr">
        <is>
          <t>Depreciation</t>
        </is>
      </c>
      <c r="B45" t="n">
        <v>557.84</v>
      </c>
      <c r="C45" t="n">
        <v>528.98</v>
      </c>
      <c r="D45" t="n">
        <v>518.55</v>
      </c>
      <c r="E45" t="n">
        <v>527.38</v>
      </c>
      <c r="F45" t="n">
        <v>530.35</v>
      </c>
      <c r="G45" t="n">
        <v>528.11</v>
      </c>
      <c r="H45" t="n">
        <v>517.52</v>
      </c>
      <c r="I45" t="n">
        <v>568.76</v>
      </c>
      <c r="J45" t="n">
        <v>583.61</v>
      </c>
      <c r="K45" t="n">
        <v>557.1</v>
      </c>
    </row>
    <row r="46" customFormat="1" s="9">
      <c r="A46" s="9" t="inlineStr">
        <is>
          <t>Interest</t>
        </is>
      </c>
      <c r="B46" t="n">
        <v>37.48</v>
      </c>
      <c r="C46" t="n">
        <v>31.64</v>
      </c>
      <c r="D46" t="n">
        <v>29.17</v>
      </c>
      <c r="E46" t="n">
        <v>29.89</v>
      </c>
      <c r="F46" t="n">
        <v>36.5</v>
      </c>
      <c r="G46" t="n">
        <v>24.73</v>
      </c>
      <c r="H46" t="n">
        <v>16.66</v>
      </c>
      <c r="I46" t="n">
        <v>27.21</v>
      </c>
      <c r="J46" t="n">
        <v>37.87</v>
      </c>
      <c r="K46" t="n">
        <v>27.33</v>
      </c>
    </row>
    <row r="47" customFormat="1" s="9">
      <c r="A47" s="9" t="inlineStr">
        <is>
          <t>Profit before tax</t>
        </is>
      </c>
      <c r="B47" t="n">
        <v>2259.62</v>
      </c>
      <c r="C47" t="n">
        <v>2003.38</v>
      </c>
      <c r="D47" t="n">
        <v>1849.84</v>
      </c>
      <c r="E47" t="n">
        <v>1562.72</v>
      </c>
      <c r="F47" t="n">
        <v>2175.4</v>
      </c>
      <c r="G47" t="n">
        <v>1847.19</v>
      </c>
      <c r="H47" t="n">
        <v>2125.96</v>
      </c>
      <c r="I47" t="n">
        <v>1666.03</v>
      </c>
      <c r="J47" t="n">
        <v>1603.87</v>
      </c>
      <c r="K47" t="n">
        <v>1201.65</v>
      </c>
    </row>
    <row r="48" customFormat="1" s="9">
      <c r="A48" s="9" t="inlineStr">
        <is>
          <t>Tax</t>
        </is>
      </c>
      <c r="B48" t="n">
        <v>582.4400000000001</v>
      </c>
      <c r="C48" t="n">
        <v>513.73</v>
      </c>
      <c r="D48" t="n">
        <v>474.38</v>
      </c>
      <c r="E48" t="n">
        <v>401.99</v>
      </c>
      <c r="F48" t="n">
        <v>561.05</v>
      </c>
      <c r="G48" t="n">
        <v>477.97</v>
      </c>
      <c r="H48" t="n">
        <v>553.71</v>
      </c>
      <c r="I48" t="n">
        <v>431.63</v>
      </c>
      <c r="J48" t="n">
        <v>348.24</v>
      </c>
      <c r="K48" t="n">
        <v>313.02</v>
      </c>
    </row>
    <row r="49" customFormat="1" s="9">
      <c r="A49" s="9" t="inlineStr">
        <is>
          <t>Net profit</t>
        </is>
      </c>
      <c r="B49" t="n">
        <v>1677.17</v>
      </c>
      <c r="C49" t="n">
        <v>1489.65</v>
      </c>
      <c r="D49" t="n">
        <v>1375.47</v>
      </c>
      <c r="E49" t="n">
        <v>1160.73</v>
      </c>
      <c r="F49" t="n">
        <v>1614.35</v>
      </c>
      <c r="G49" t="n">
        <v>1369.23</v>
      </c>
      <c r="H49" t="n">
        <v>1572.26</v>
      </c>
      <c r="I49" t="n">
        <v>1234.4</v>
      </c>
      <c r="J49" t="n">
        <v>1255.63</v>
      </c>
      <c r="K49" t="n">
        <v>888.62</v>
      </c>
    </row>
    <row r="50">
      <c r="A50" s="9" t="inlineStr">
        <is>
          <t>Operating Profit</t>
        </is>
      </c>
      <c r="B50" t="n">
        <v>2521.85</v>
      </c>
      <c r="C50" t="n">
        <v>2340.25</v>
      </c>
      <c r="D50" t="n">
        <v>2205.3</v>
      </c>
      <c r="E50" t="n">
        <v>1875.53</v>
      </c>
      <c r="F50" t="n">
        <v>2532.67</v>
      </c>
      <c r="G50" t="n">
        <v>2185.24</v>
      </c>
      <c r="H50" t="n">
        <v>2428.93</v>
      </c>
      <c r="I50" t="n">
        <v>2018.35</v>
      </c>
      <c r="J50" t="n">
        <v>1965.97</v>
      </c>
      <c r="K50" t="n">
        <v>1511.71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F57" t="n">
        <v>812.54</v>
      </c>
      <c r="G57" t="n">
        <v>812.54</v>
      </c>
      <c r="H57" t="n">
        <v>812.54</v>
      </c>
      <c r="I57" t="n">
        <v>812.54</v>
      </c>
      <c r="J57" t="n">
        <v>812.54</v>
      </c>
      <c r="K57" t="n">
        <v>812.54</v>
      </c>
    </row>
    <row r="58">
      <c r="A58" s="9" t="inlineStr">
        <is>
          <t>Reserves</t>
        </is>
      </c>
      <c r="F58" t="n">
        <v>14498.8</v>
      </c>
      <c r="G58" t="n">
        <v>16043.71</v>
      </c>
      <c r="H58" t="n">
        <v>19242.28</v>
      </c>
      <c r="I58" t="n">
        <v>9853.120000000001</v>
      </c>
      <c r="J58" t="n">
        <v>15483.92</v>
      </c>
      <c r="K58" t="n">
        <v>19202.48</v>
      </c>
    </row>
    <row r="59">
      <c r="A59" s="9" t="inlineStr">
        <is>
          <t>Borrowings</t>
        </is>
      </c>
      <c r="F59" t="n">
        <v>1353.94</v>
      </c>
      <c r="G59" t="n">
        <v>1177.67</v>
      </c>
      <c r="H59" t="n">
        <v>1189.35</v>
      </c>
      <c r="I59" t="n">
        <v>833.24</v>
      </c>
      <c r="J59" t="n">
        <v>850.23</v>
      </c>
      <c r="K59" t="n">
        <v>1097.56</v>
      </c>
    </row>
    <row r="60">
      <c r="A60" s="9" t="inlineStr">
        <is>
          <t>Other Liabilities</t>
        </is>
      </c>
      <c r="F60" t="n">
        <v>10065.28</v>
      </c>
      <c r="G60" t="n">
        <v>10324.14</v>
      </c>
      <c r="H60" t="n">
        <v>13329.18</v>
      </c>
      <c r="I60" t="n">
        <v>14850.34</v>
      </c>
      <c r="J60" t="n">
        <v>12950.67</v>
      </c>
      <c r="K60" t="n">
        <v>13291.68</v>
      </c>
    </row>
    <row r="61" customFormat="1" s="1">
      <c r="A61" s="1" t="inlineStr">
        <is>
          <t>Total</t>
        </is>
      </c>
      <c r="F61" t="n">
        <v>26730.56</v>
      </c>
      <c r="G61" t="n">
        <v>28358.06</v>
      </c>
      <c r="H61" t="n">
        <v>34573.35</v>
      </c>
      <c r="I61" t="n">
        <v>26349.24</v>
      </c>
      <c r="J61" t="n">
        <v>30097.36</v>
      </c>
      <c r="K61" t="n">
        <v>34404.26</v>
      </c>
    </row>
    <row r="62">
      <c r="A62" s="9" t="inlineStr">
        <is>
          <t>Net Block</t>
        </is>
      </c>
      <c r="F62" t="n">
        <v>7287.85</v>
      </c>
      <c r="G62" t="n">
        <v>6671.21</v>
      </c>
      <c r="H62" t="n">
        <v>6150.43</v>
      </c>
      <c r="I62" t="n">
        <v>7614.43</v>
      </c>
      <c r="J62" t="n">
        <v>7105.11</v>
      </c>
      <c r="K62" t="n">
        <v>13069.91</v>
      </c>
    </row>
    <row r="63">
      <c r="A63" s="9" t="inlineStr">
        <is>
          <t>Capital Work in Progress</t>
        </is>
      </c>
      <c r="F63" t="n">
        <v>817.51</v>
      </c>
      <c r="G63" t="n">
        <v>529.13</v>
      </c>
      <c r="H63" t="n">
        <v>1336.64</v>
      </c>
      <c r="I63" t="n">
        <v>652.84</v>
      </c>
      <c r="J63" t="n">
        <v>4718.36</v>
      </c>
      <c r="K63" t="n">
        <v>725.3</v>
      </c>
    </row>
    <row r="64">
      <c r="A64" s="9" t="inlineStr">
        <is>
          <t>Investments</t>
        </is>
      </c>
      <c r="K64" t="n">
        <v>7.36</v>
      </c>
    </row>
    <row r="65">
      <c r="A65" s="9" t="inlineStr">
        <is>
          <t>Other Assets</t>
        </is>
      </c>
      <c r="F65" t="n">
        <v>18625.2</v>
      </c>
      <c r="G65" t="n">
        <v>21157.72</v>
      </c>
      <c r="H65" t="n">
        <v>27086.28</v>
      </c>
      <c r="I65" t="n">
        <v>18081.97</v>
      </c>
      <c r="J65" t="n">
        <v>18273.89</v>
      </c>
      <c r="K65" t="n">
        <v>20601.69</v>
      </c>
    </row>
    <row r="66" customFormat="1" s="1">
      <c r="A66" s="1" t="inlineStr">
        <is>
          <t>Total</t>
        </is>
      </c>
      <c r="F66" t="n">
        <v>26730.56</v>
      </c>
      <c r="G66" t="n">
        <v>28358.06</v>
      </c>
      <c r="H66" t="n">
        <v>34573.35</v>
      </c>
      <c r="I66" t="n">
        <v>26349.24</v>
      </c>
      <c r="J66" t="n">
        <v>30097.36</v>
      </c>
      <c r="K66" t="n">
        <v>34404.26</v>
      </c>
    </row>
    <row r="67" customFormat="1" s="9">
      <c r="A67" s="9" t="inlineStr">
        <is>
          <t>Receivables</t>
        </is>
      </c>
      <c r="F67" t="n">
        <v>2464.95</v>
      </c>
      <c r="G67" t="n">
        <v>2182.41</v>
      </c>
      <c r="H67" t="n">
        <v>2897.19</v>
      </c>
      <c r="I67" t="n">
        <v>2510.03</v>
      </c>
      <c r="J67" t="n">
        <v>2389.12</v>
      </c>
      <c r="K67" t="n">
        <v>2193.7</v>
      </c>
    </row>
    <row r="68">
      <c r="A68" s="9" t="inlineStr">
        <is>
          <t>Inventory</t>
        </is>
      </c>
      <c r="F68" t="n">
        <v>2563.32</v>
      </c>
      <c r="G68" t="n">
        <v>2881.12</v>
      </c>
      <c r="H68" t="n">
        <v>3422.41</v>
      </c>
      <c r="I68" t="n">
        <v>3315.63</v>
      </c>
      <c r="J68" t="n">
        <v>3404.36</v>
      </c>
      <c r="K68" t="n">
        <v>3593.51</v>
      </c>
    </row>
    <row r="69">
      <c r="A69" s="21" t="inlineStr">
        <is>
          <t>Cash &amp; Bank</t>
        </is>
      </c>
      <c r="F69" t="n">
        <v>11567.63</v>
      </c>
      <c r="G69" t="n">
        <v>14138.84</v>
      </c>
      <c r="H69" t="n">
        <v>17741.15</v>
      </c>
      <c r="I69" t="n">
        <v>9017.35</v>
      </c>
      <c r="J69" t="n">
        <v>8579.17</v>
      </c>
      <c r="K69" t="n">
        <v>10551.98</v>
      </c>
    </row>
    <row r="70">
      <c r="A70" s="21" t="inlineStr">
        <is>
          <t>No. of Equity Shares</t>
        </is>
      </c>
      <c r="F70" t="n">
        <v>8125411</v>
      </c>
      <c r="G70" t="n">
        <v>8125411</v>
      </c>
      <c r="H70" t="n">
        <v>8125411</v>
      </c>
      <c r="I70" t="n">
        <v>812541100</v>
      </c>
      <c r="J70" t="n">
        <v>812541100</v>
      </c>
      <c r="K70" t="n">
        <v>812541100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F72" t="n">
        <v>1000</v>
      </c>
      <c r="G72" t="n">
        <v>1000</v>
      </c>
      <c r="H72" t="n">
        <v>1000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F82" t="n">
        <v>5422.52</v>
      </c>
      <c r="G82" t="n">
        <v>5138.41</v>
      </c>
      <c r="H82" t="n">
        <v>6564.26</v>
      </c>
      <c r="I82" t="n">
        <v>9251.959999999999</v>
      </c>
      <c r="J82" t="n">
        <v>4344.92</v>
      </c>
      <c r="K82" t="n">
        <v>7321.13</v>
      </c>
    </row>
    <row r="83" customFormat="1" s="9">
      <c r="A83" s="9" t="inlineStr">
        <is>
          <t>Cash from Investing Activity</t>
        </is>
      </c>
      <c r="F83" t="n">
        <v>-2223.65</v>
      </c>
      <c r="G83" t="n">
        <v>-910.17</v>
      </c>
      <c r="H83" t="n">
        <v>-1382.72</v>
      </c>
      <c r="I83" t="n">
        <v>-10089.81</v>
      </c>
      <c r="J83" t="n">
        <v>-409.57</v>
      </c>
      <c r="K83" t="n">
        <v>-1864.46</v>
      </c>
    </row>
    <row r="84" customFormat="1" s="9">
      <c r="A84" s="9" t="inlineStr">
        <is>
          <t>Cash from Financing Activity</t>
        </is>
      </c>
      <c r="F84" t="n">
        <v>143.45</v>
      </c>
      <c r="G84" t="n">
        <v>-1662.04</v>
      </c>
      <c r="H84" t="n">
        <v>-1579.23</v>
      </c>
      <c r="I84" t="n">
        <v>-15930.07</v>
      </c>
      <c r="J84" t="n">
        <v>-62.85</v>
      </c>
      <c r="K84" t="n">
        <v>-1590.72</v>
      </c>
    </row>
    <row r="85" customFormat="1" s="1">
      <c r="A85" s="9" t="inlineStr">
        <is>
          <t>Net Cash Flow</t>
        </is>
      </c>
      <c r="F85" t="n">
        <v>3342.32</v>
      </c>
      <c r="G85" t="n">
        <v>2566.2</v>
      </c>
      <c r="H85" t="n">
        <v>3602.31</v>
      </c>
      <c r="I85" t="n">
        <v>-16767.93</v>
      </c>
      <c r="J85" t="n">
        <v>3872.5</v>
      </c>
      <c r="K85" t="n">
        <v>3865.96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J90" t="n">
        <v>1707.65</v>
      </c>
      <c r="K90" t="n">
        <v>1778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>
        <f>IF($B7&gt;0,(I70*I72/$B7)+SUM(J71:$K71),0)/10000000</f>
        <v/>
      </c>
      <c r="J93" s="31" t="n">
        <v>81.25</v>
      </c>
      <c r="K93" s="31" t="n">
        <v>81.25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2026-09-15T17:23:53Z</dcterms:modified>
  <cp:lastModifiedBy>Pratyush Mittal</cp:lastModifiedBy>
  <cp:lastPrinted>2012-12-06T18:14:13Z</cp:lastPrinted>
</cp:coreProperties>
</file>