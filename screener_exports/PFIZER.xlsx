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PFIZER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4058.9</v>
      </c>
    </row>
    <row r="9">
      <c r="A9" s="21" t="inlineStr">
        <is>
          <t>Market Capitalization</t>
        </is>
      </c>
      <c r="B9" t="n">
        <v>18568.51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/>
      <c r="C16" s="16" t="n"/>
      <c r="D16" s="16" t="n"/>
      <c r="E16" s="16" t="n"/>
      <c r="F16" s="16" t="n"/>
      <c r="G16" s="16" t="n"/>
      <c r="H16" s="16" t="n"/>
      <c r="I16" s="16" t="n">
        <v>39051</v>
      </c>
      <c r="J16" s="16" t="n">
        <v>39416</v>
      </c>
      <c r="K16" s="16" t="n">
        <v>39782</v>
      </c>
    </row>
    <row r="17" customFormat="1" s="9">
      <c r="A17" s="9" t="inlineStr">
        <is>
          <t>Sales</t>
        </is>
      </c>
      <c r="I17" t="n">
        <v>664.16</v>
      </c>
      <c r="J17" t="n">
        <v>675.71</v>
      </c>
      <c r="K17" t="n">
        <v>678.0599999999999</v>
      </c>
    </row>
    <row r="18" customFormat="1" s="9">
      <c r="A18" s="21" t="inlineStr">
        <is>
          <t>Raw Material Cost</t>
        </is>
      </c>
      <c r="I18" t="n">
        <v>237.01</v>
      </c>
      <c r="J18" t="n">
        <v>229.29</v>
      </c>
      <c r="K18" t="n">
        <v>262.62</v>
      </c>
    </row>
    <row r="19" customFormat="1" s="9">
      <c r="A19" s="21" t="inlineStr">
        <is>
          <t>Change in Inventory</t>
        </is>
      </c>
      <c r="I19" t="n">
        <v>10.26</v>
      </c>
      <c r="J19" t="n">
        <v>-4.77</v>
      </c>
      <c r="K19" t="n">
        <v>22.49</v>
      </c>
    </row>
    <row r="20" customFormat="1" s="9">
      <c r="A20" s="21" t="inlineStr">
        <is>
          <t>Power and Fuel</t>
        </is>
      </c>
      <c r="I20" t="n">
        <v>7.5</v>
      </c>
      <c r="J20" t="n">
        <v>7.94</v>
      </c>
      <c r="K20" t="n">
        <v>7.17</v>
      </c>
    </row>
    <row r="21" customFormat="1" s="9">
      <c r="A21" s="21" t="inlineStr">
        <is>
          <t>Other Mfr. Exp</t>
        </is>
      </c>
      <c r="I21" t="n">
        <v>22.09</v>
      </c>
      <c r="J21" t="n">
        <v>23.86</v>
      </c>
      <c r="K21" t="n">
        <v>25.45</v>
      </c>
    </row>
    <row r="22" customFormat="1" s="9">
      <c r="A22" s="21" t="inlineStr">
        <is>
          <t>Employee Cost</t>
        </is>
      </c>
      <c r="I22" t="n">
        <v>102.34</v>
      </c>
      <c r="J22" t="n">
        <v>101.7</v>
      </c>
      <c r="K22" t="n">
        <v>102.1</v>
      </c>
    </row>
    <row r="23" customFormat="1" s="9">
      <c r="A23" s="21" t="inlineStr">
        <is>
          <t>Selling and admin</t>
        </is>
      </c>
      <c r="I23" t="n">
        <v>164.07</v>
      </c>
      <c r="J23" t="n">
        <v>166.49</v>
      </c>
      <c r="K23" t="n">
        <v>161.17</v>
      </c>
    </row>
    <row r="24" customFormat="1" s="9">
      <c r="A24" s="21" t="inlineStr">
        <is>
          <t>Other Expenses</t>
        </is>
      </c>
      <c r="I24" t="n">
        <v>14.01</v>
      </c>
      <c r="J24" t="n">
        <v>281.06</v>
      </c>
      <c r="K24" t="n">
        <v>223.83</v>
      </c>
    </row>
    <row r="25" customFormat="1" s="9">
      <c r="A25" s="9" t="inlineStr">
        <is>
          <t>Other Income</t>
        </is>
      </c>
      <c r="I25" t="n">
        <v>48.39</v>
      </c>
      <c r="J25" t="n">
        <v>600.34</v>
      </c>
      <c r="K25" t="n">
        <v>512.03</v>
      </c>
    </row>
    <row r="26" customFormat="1" s="9">
      <c r="A26" s="9" t="inlineStr">
        <is>
          <t>Depreciation</t>
        </is>
      </c>
      <c r="I26" t="n">
        <v>13.07</v>
      </c>
      <c r="J26" t="n">
        <v>9.58</v>
      </c>
      <c r="K26" t="n">
        <v>11.12</v>
      </c>
    </row>
    <row r="27" customFormat="1" s="9">
      <c r="A27" s="9" t="inlineStr">
        <is>
          <t>Interest</t>
        </is>
      </c>
      <c r="I27" t="n">
        <v>0.07000000000000001</v>
      </c>
      <c r="J27" t="n">
        <v>0.02</v>
      </c>
    </row>
    <row r="28" customFormat="1" s="9">
      <c r="A28" s="9" t="inlineStr">
        <is>
          <t>Profit before tax</t>
        </is>
      </c>
      <c r="I28" t="n">
        <v>162.65</v>
      </c>
      <c r="J28" t="n">
        <v>451.34</v>
      </c>
      <c r="K28" t="n">
        <v>419.12</v>
      </c>
    </row>
    <row r="29" customFormat="1" s="9">
      <c r="A29" s="9" t="inlineStr">
        <is>
          <t>Tax</t>
        </is>
      </c>
      <c r="I29" t="n">
        <v>56.31</v>
      </c>
      <c r="J29" t="n">
        <v>111.34</v>
      </c>
      <c r="K29" t="n">
        <v>119.55</v>
      </c>
    </row>
    <row r="30" customFormat="1" s="9">
      <c r="A30" s="9" t="inlineStr">
        <is>
          <t>Net profit</t>
        </is>
      </c>
      <c r="I30" t="n">
        <v>106.34</v>
      </c>
      <c r="J30" t="n">
        <v>340</v>
      </c>
      <c r="K30" t="n">
        <v>299.57</v>
      </c>
    </row>
    <row r="31" customFormat="1" s="9">
      <c r="A31" s="9" t="inlineStr">
        <is>
          <t>Dividend Amount</t>
        </is>
      </c>
      <c r="I31" t="n">
        <v>67.14</v>
      </c>
      <c r="J31" t="n">
        <v>82.06</v>
      </c>
      <c r="K31" t="n">
        <v>37.3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/>
      <c r="C41" s="16" t="n"/>
      <c r="D41" s="16" t="n"/>
      <c r="E41" s="16" t="n"/>
      <c r="F41" s="16" t="n"/>
      <c r="G41" s="16" t="n"/>
      <c r="H41" s="16" t="n"/>
      <c r="I41" s="16" t="n"/>
      <c r="J41" s="16" t="n"/>
      <c r="K41" s="16" t="n"/>
    </row>
    <row r="42" customFormat="1" s="9">
      <c r="A42" s="9" t="inlineStr">
        <is>
          <t>Sales</t>
        </is>
      </c>
    </row>
    <row r="43" customFormat="1" s="9">
      <c r="A43" s="9" t="inlineStr">
        <is>
          <t>Expenses</t>
        </is>
      </c>
    </row>
    <row r="44" customFormat="1" s="9">
      <c r="A44" s="9" t="inlineStr">
        <is>
          <t>Other Income</t>
        </is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</row>
    <row r="47" customFormat="1" s="9">
      <c r="A47" s="9" t="inlineStr">
        <is>
          <t>Profit before tax</t>
        </is>
      </c>
    </row>
    <row r="48" customFormat="1" s="9">
      <c r="A48" s="9" t="inlineStr">
        <is>
          <t>Tax</t>
        </is>
      </c>
    </row>
    <row r="49" customFormat="1" s="9">
      <c r="A49" s="9" t="inlineStr">
        <is>
          <t>Net profit</t>
        </is>
      </c>
    </row>
    <row r="50">
      <c r="A50" s="9" t="inlineStr">
        <is>
          <t>Operating Profit</t>
        </is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/>
      <c r="C56" s="16" t="n"/>
      <c r="D56" s="16" t="n"/>
      <c r="E56" s="16" t="n"/>
      <c r="F56" s="16" t="n"/>
      <c r="G56" s="16" t="n"/>
      <c r="H56" s="16" t="n"/>
      <c r="I56" s="16" t="n">
        <v>39051</v>
      </c>
      <c r="J56" s="16" t="n">
        <v>39416</v>
      </c>
      <c r="K56" s="16" t="n">
        <v>39782</v>
      </c>
    </row>
    <row r="57">
      <c r="A57" s="9" t="inlineStr">
        <is>
          <t>Equity Share Capital</t>
        </is>
      </c>
      <c r="I57" t="n">
        <v>29.84</v>
      </c>
      <c r="J57" t="n">
        <v>29.84</v>
      </c>
      <c r="K57" t="n">
        <v>29.84</v>
      </c>
    </row>
    <row r="58">
      <c r="A58" s="9" t="inlineStr">
        <is>
          <t>Reserves</t>
        </is>
      </c>
      <c r="I58" t="n">
        <v>375.89</v>
      </c>
      <c r="J58" t="n">
        <v>619.88</v>
      </c>
      <c r="K58" t="n">
        <v>871.25</v>
      </c>
    </row>
    <row r="59">
      <c r="A59" s="9" t="inlineStr">
        <is>
          <t>Borrowings</t>
        </is>
      </c>
    </row>
    <row r="60">
      <c r="A60" s="9" t="inlineStr">
        <is>
          <t>Other Liabilities</t>
        </is>
      </c>
      <c r="I60" t="n">
        <v>240.16</v>
      </c>
      <c r="J60" t="n">
        <v>217.74</v>
      </c>
      <c r="K60" t="n">
        <v>196.55</v>
      </c>
    </row>
    <row r="61" customFormat="1" s="1">
      <c r="A61" s="1" t="inlineStr">
        <is>
          <t>Total</t>
        </is>
      </c>
      <c r="I61" t="n">
        <v>645.89</v>
      </c>
      <c r="J61" t="n">
        <v>867.46</v>
      </c>
      <c r="K61" t="n">
        <v>1097.64</v>
      </c>
    </row>
    <row r="62">
      <c r="A62" s="9" t="inlineStr">
        <is>
          <t>Net Block</t>
        </is>
      </c>
      <c r="I62" t="n">
        <v>65.16</v>
      </c>
      <c r="J62" t="n">
        <v>60.16</v>
      </c>
      <c r="K62" t="n">
        <v>50.76</v>
      </c>
    </row>
    <row r="63">
      <c r="A63" s="9" t="inlineStr">
        <is>
          <t>Capital Work in Progress</t>
        </is>
      </c>
      <c r="I63" t="n">
        <v>1.6</v>
      </c>
      <c r="J63" t="n">
        <v>10.25</v>
      </c>
      <c r="K63" t="n">
        <v>32.3</v>
      </c>
    </row>
    <row r="64">
      <c r="A64" s="9" t="inlineStr">
        <is>
          <t>Investments</t>
        </is>
      </c>
      <c r="J64" t="n">
        <v>0.5</v>
      </c>
      <c r="K64" t="n">
        <v>0.5</v>
      </c>
    </row>
    <row r="65">
      <c r="A65" s="9" t="inlineStr">
        <is>
          <t>Other Assets</t>
        </is>
      </c>
      <c r="I65" t="n">
        <v>579.13</v>
      </c>
      <c r="J65" t="n">
        <v>796.55</v>
      </c>
      <c r="K65" t="n">
        <v>1014.08</v>
      </c>
    </row>
    <row r="66" customFormat="1" s="1">
      <c r="A66" s="1" t="inlineStr">
        <is>
          <t>Total</t>
        </is>
      </c>
      <c r="I66" t="n">
        <v>645.89</v>
      </c>
      <c r="J66" t="n">
        <v>867.46</v>
      </c>
      <c r="K66" t="n">
        <v>1097.64</v>
      </c>
    </row>
    <row r="67" customFormat="1" s="9">
      <c r="A67" s="9" t="inlineStr">
        <is>
          <t>Receivables</t>
        </is>
      </c>
      <c r="I67" t="n">
        <v>69.48</v>
      </c>
      <c r="J67" t="n">
        <v>61.69</v>
      </c>
      <c r="K67" t="n">
        <v>60.31</v>
      </c>
    </row>
    <row r="68">
      <c r="A68" s="9" t="inlineStr">
        <is>
          <t>Inventory</t>
        </is>
      </c>
      <c r="I68" t="n">
        <v>99.31</v>
      </c>
      <c r="J68" t="n">
        <v>95.84999999999999</v>
      </c>
      <c r="K68" t="n">
        <v>124.99</v>
      </c>
    </row>
    <row r="69">
      <c r="A69" s="21" t="inlineStr">
        <is>
          <t>Cash &amp; Bank</t>
        </is>
      </c>
      <c r="I69" t="n">
        <v>306.94</v>
      </c>
      <c r="J69" t="n">
        <v>479.91</v>
      </c>
      <c r="K69" t="n">
        <v>543.65</v>
      </c>
    </row>
    <row r="70">
      <c r="A70" s="21" t="inlineStr">
        <is>
          <t>No. of Equity Shares</t>
        </is>
      </c>
      <c r="I70" t="n">
        <v>29844080</v>
      </c>
      <c r="J70" t="n">
        <v>29844080</v>
      </c>
      <c r="K70" t="n">
        <v>29844080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/>
      <c r="C81" s="16" t="n"/>
      <c r="D81" s="16" t="n"/>
      <c r="E81" s="16" t="n"/>
      <c r="F81" s="16" t="n"/>
      <c r="G81" s="16" t="n"/>
      <c r="H81" s="16" t="n"/>
      <c r="I81" s="16" t="n">
        <v>39051</v>
      </c>
      <c r="J81" s="16" t="n">
        <v>39416</v>
      </c>
      <c r="K81" s="16" t="n">
        <v>39782</v>
      </c>
    </row>
    <row r="82" customFormat="1" s="1">
      <c r="A82" s="9" t="inlineStr">
        <is>
          <t>Cash from Operating Activity</t>
        </is>
      </c>
      <c r="I82" t="n">
        <v>123.19</v>
      </c>
      <c r="J82" t="n">
        <v>16.63</v>
      </c>
      <c r="K82" t="n">
        <v>237.76</v>
      </c>
    </row>
    <row r="83" customFormat="1" s="9">
      <c r="A83" s="9" t="inlineStr">
        <is>
          <t>Cash from Investing Activity</t>
        </is>
      </c>
      <c r="I83" t="n">
        <v>7.46</v>
      </c>
      <c r="J83" t="n">
        <v>232.35</v>
      </c>
      <c r="K83" t="n">
        <v>-78.87</v>
      </c>
    </row>
    <row r="84" customFormat="1" s="9">
      <c r="A84" s="9" t="inlineStr">
        <is>
          <t>Cash from Financing Activity</t>
        </is>
      </c>
      <c r="I84" t="n">
        <v>-33.82</v>
      </c>
      <c r="J84" t="n">
        <v>-75.89</v>
      </c>
      <c r="K84" t="n">
        <v>-95.2</v>
      </c>
    </row>
    <row r="85" customFormat="1" s="1">
      <c r="A85" s="9" t="inlineStr">
        <is>
          <t>Net Cash Flow</t>
        </is>
      </c>
      <c r="I85" t="n">
        <v>96.83</v>
      </c>
      <c r="J85" t="n">
        <v>173.09</v>
      </c>
      <c r="K85" t="n">
        <v>63.69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I90" t="n">
        <v>775.1</v>
      </c>
      <c r="J90" t="n">
        <v>652.4</v>
      </c>
      <c r="K90" t="n">
        <v>467.15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>
        <f>IF($B7&gt;0,(B70*B72/$B7)+SUM(C71:$K71),0)/10000000</f>
        <v/>
      </c>
      <c r="C93" s="31">
        <f>IF($B7&gt;0,(C70*C72/$B7)+SUM(D71:$K71),0)/10000000</f>
        <v/>
      </c>
      <c r="D93" s="31">
        <f>IF($B7&gt;0,(D70*D72/$B7)+SUM(E71:$K71),0)/10000000</f>
        <v/>
      </c>
      <c r="E93" s="31">
        <f>IF($B7&gt;0,(E70*E72/$B7)+SUM(F71:$K71),0)/10000000</f>
        <v/>
      </c>
      <c r="F93" s="31">
        <f>IF($B7&gt;0,(F70*F72/$B7)+SUM(G71:$K71),0)/10000000</f>
        <v/>
      </c>
      <c r="G93" s="31">
        <f>IF($B7&gt;0,(G70*G72/$B7)+SUM(H71:$K71),0)/10000000</f>
        <v/>
      </c>
      <c r="H93" s="31">
        <f>IF($B7&gt;0,(H70*H72/$B7)+SUM(I71:$K71),0)/10000000</f>
        <v/>
      </c>
      <c r="I93" s="31" t="n">
        <v>2.98</v>
      </c>
      <c r="J93" s="31" t="n">
        <v>2.98</v>
      </c>
      <c r="K93" s="31" t="n">
        <v>2.98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2026-09-15T17:24:20Z</dcterms:modified>
  <cp:lastModifiedBy>Pratyush Mittal</cp:lastModifiedBy>
  <cp:lastPrinted>2012-12-06T18:14:13Z</cp:lastPrinted>
</cp:coreProperties>
</file>