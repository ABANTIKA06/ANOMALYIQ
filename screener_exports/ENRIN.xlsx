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SIEMENS ENERGY INDIA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2</v>
      </c>
    </row>
    <row r="8">
      <c r="A8" s="21" t="inlineStr">
        <is>
          <t>Current Price</t>
        </is>
      </c>
      <c r="B8" t="n">
        <v>3028.2</v>
      </c>
    </row>
    <row r="9">
      <c r="A9" s="21" t="inlineStr">
        <is>
          <t>Market Capitalization</t>
        </is>
      </c>
      <c r="B9" t="n">
        <v>107840.42</v>
      </c>
    </row>
    <row r="10">
      <c r="A10" t="inlineStr">
        <is>
          <t>Industry</t>
        </is>
      </c>
      <c r="B10" t="inlineStr">
        <is>
          <t>Capital Goods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/>
      <c r="C16" s="16" t="n"/>
      <c r="D16" s="16" t="n"/>
      <c r="E16" s="16" t="n"/>
      <c r="F16" s="16" t="n"/>
      <c r="G16" s="16" t="n"/>
      <c r="H16" s="16" t="n"/>
      <c r="I16" s="16" t="n">
        <v>45565</v>
      </c>
      <c r="J16" s="16" t="n">
        <v>45716</v>
      </c>
      <c r="K16" s="16" t="n">
        <v>45930</v>
      </c>
    </row>
    <row r="17" customFormat="1" s="9">
      <c r="A17" s="9" t="inlineStr">
        <is>
          <t>Sales</t>
        </is>
      </c>
      <c r="J17" t="n">
        <v>2653.4</v>
      </c>
      <c r="K17" t="n">
        <v>7826.7</v>
      </c>
    </row>
    <row r="18" customFormat="1" s="9">
      <c r="A18" s="21" t="inlineStr">
        <is>
          <t>Raw Material Cost</t>
        </is>
      </c>
    </row>
    <row r="19" customFormat="1" s="9">
      <c r="A19" s="21" t="inlineStr">
        <is>
          <t>Change in Inventory</t>
        </is>
      </c>
      <c r="J19" t="n">
        <v>-103.8</v>
      </c>
      <c r="K19" t="n">
        <v>-49</v>
      </c>
    </row>
    <row r="20" customFormat="1" s="9">
      <c r="A20" s="21" t="inlineStr">
        <is>
          <t>Power and Fuel</t>
        </is>
      </c>
      <c r="J20" t="n">
        <v>635.1</v>
      </c>
      <c r="K20" t="n">
        <v>1680.8</v>
      </c>
    </row>
    <row r="21" customFormat="1" s="9">
      <c r="A21" s="21" t="inlineStr">
        <is>
          <t>Other Mfr. Exp</t>
        </is>
      </c>
      <c r="J21" t="n">
        <v>696.2</v>
      </c>
      <c r="K21" t="n">
        <v>2987.5</v>
      </c>
    </row>
    <row r="22" customFormat="1" s="9">
      <c r="A22" s="21" t="inlineStr">
        <is>
          <t>Employee Cost</t>
        </is>
      </c>
      <c r="J22" t="n">
        <v>350.6</v>
      </c>
      <c r="K22" t="n">
        <v>985.4</v>
      </c>
    </row>
    <row r="23" customFormat="1" s="9">
      <c r="A23" s="21" t="inlineStr">
        <is>
          <t>Selling and admin</t>
        </is>
      </c>
      <c r="I23" t="n">
        <v>0.23</v>
      </c>
      <c r="J23" t="n">
        <v>224.7</v>
      </c>
      <c r="K23" t="n">
        <v>551.5</v>
      </c>
    </row>
    <row r="24" customFormat="1" s="9">
      <c r="A24" s="21" t="inlineStr">
        <is>
          <t>Other Expenses</t>
        </is>
      </c>
      <c r="J24" t="n">
        <v>53.6</v>
      </c>
      <c r="K24" t="n">
        <v>40.6</v>
      </c>
    </row>
    <row r="25" customFormat="1" s="9">
      <c r="A25" s="9" t="inlineStr">
        <is>
          <t>Other Income</t>
        </is>
      </c>
      <c r="J25" t="n">
        <v>2.6</v>
      </c>
      <c r="K25" t="n">
        <v>97.8</v>
      </c>
    </row>
    <row r="26" customFormat="1" s="9">
      <c r="A26" s="9" t="inlineStr">
        <is>
          <t>Depreciation</t>
        </is>
      </c>
      <c r="I26" t="n">
        <v>0.07000000000000001</v>
      </c>
      <c r="J26" t="n">
        <v>34.8</v>
      </c>
      <c r="K26" t="n">
        <v>103</v>
      </c>
    </row>
    <row r="27" customFormat="1" s="9">
      <c r="A27" s="9" t="inlineStr">
        <is>
          <t>Interest</t>
        </is>
      </c>
      <c r="I27" t="n">
        <v>0.01</v>
      </c>
      <c r="J27" t="n">
        <v>10.2</v>
      </c>
      <c r="K27" t="n">
        <v>39.2</v>
      </c>
    </row>
    <row r="28" customFormat="1" s="9">
      <c r="A28" s="9" t="inlineStr">
        <is>
          <t>Profit before tax</t>
        </is>
      </c>
      <c r="I28" t="n">
        <v>-0.31</v>
      </c>
      <c r="J28" t="n">
        <v>547</v>
      </c>
      <c r="K28" t="n">
        <v>1487.5</v>
      </c>
    </row>
    <row r="29" customFormat="1" s="9">
      <c r="A29" s="9" t="inlineStr">
        <is>
          <t>Tax</t>
        </is>
      </c>
      <c r="J29" t="n">
        <v>138.2</v>
      </c>
      <c r="K29" t="n">
        <v>387.4</v>
      </c>
    </row>
    <row r="30" customFormat="1" s="9">
      <c r="A30" s="9" t="inlineStr">
        <is>
          <t>Net profit</t>
        </is>
      </c>
      <c r="I30" t="n">
        <v>-0.3</v>
      </c>
      <c r="J30" t="n">
        <v>408.8</v>
      </c>
      <c r="K30" t="n">
        <v>1100.1</v>
      </c>
    </row>
    <row r="31" customFormat="1" s="9">
      <c r="A31" s="9" t="inlineStr">
        <is>
          <t>Dividend Amount</t>
        </is>
      </c>
      <c r="K31" t="n">
        <v>142.4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/>
      <c r="C41" s="16" t="n">
        <v>45382</v>
      </c>
      <c r="D41" s="16" t="n">
        <v>45473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D42" t="n">
        <v>1484.2</v>
      </c>
      <c r="E42" t="n">
        <v>1516.9</v>
      </c>
      <c r="F42" t="n">
        <v>1879.5</v>
      </c>
      <c r="G42" t="n">
        <v>1784.6</v>
      </c>
      <c r="H42" t="n">
        <v>2645.7</v>
      </c>
      <c r="I42" t="n">
        <v>1910.9</v>
      </c>
      <c r="J42" t="n">
        <v>2394.1</v>
      </c>
      <c r="K42" t="n">
        <v>2485.6</v>
      </c>
    </row>
    <row r="43" customFormat="1" s="9">
      <c r="A43" s="9" t="inlineStr">
        <is>
          <t>Expenses</t>
        </is>
      </c>
      <c r="D43" t="n">
        <v>1270.8</v>
      </c>
      <c r="E43" t="n">
        <v>1181.6</v>
      </c>
      <c r="F43" t="n">
        <v>1521</v>
      </c>
      <c r="G43" t="n">
        <v>1444.3</v>
      </c>
      <c r="H43" t="n">
        <v>2166.4</v>
      </c>
      <c r="I43" t="n">
        <v>1450.1</v>
      </c>
      <c r="J43" t="n">
        <v>1895.8</v>
      </c>
      <c r="K43" t="n">
        <v>1899.9</v>
      </c>
    </row>
    <row r="44" customFormat="1" s="9">
      <c r="A44" s="9" t="inlineStr">
        <is>
          <t>Other Income</t>
        </is>
      </c>
      <c r="E44" t="n">
        <v>1.6</v>
      </c>
      <c r="F44" t="n">
        <v>14.4</v>
      </c>
      <c r="G44" t="n">
        <v>52.5</v>
      </c>
      <c r="H44" t="n">
        <v>36.8</v>
      </c>
      <c r="I44" t="n">
        <v>-2.6</v>
      </c>
      <c r="J44" t="n">
        <v>45.9</v>
      </c>
      <c r="K44" t="n">
        <v>57.3</v>
      </c>
    </row>
    <row r="45" customFormat="1" s="9">
      <c r="A45" s="9" t="inlineStr">
        <is>
          <t>Depreciation</t>
        </is>
      </c>
      <c r="D45" t="n">
        <v>16</v>
      </c>
      <c r="E45" t="n">
        <v>20.7</v>
      </c>
      <c r="F45" t="n">
        <v>24.3</v>
      </c>
      <c r="G45" t="n">
        <v>26.6</v>
      </c>
      <c r="H45" t="n">
        <v>31.4</v>
      </c>
      <c r="I45" t="n">
        <v>32.3</v>
      </c>
      <c r="J45" t="n">
        <v>34.7</v>
      </c>
      <c r="K45" t="n">
        <v>40.4</v>
      </c>
    </row>
    <row r="46" customFormat="1" s="9">
      <c r="A46" s="9" t="inlineStr">
        <is>
          <t>Interest</t>
        </is>
      </c>
      <c r="D46" t="n">
        <v>1.3</v>
      </c>
      <c r="E46" t="n">
        <v>4.4</v>
      </c>
      <c r="F46" t="n">
        <v>3.3</v>
      </c>
      <c r="G46" t="n">
        <v>14.2</v>
      </c>
      <c r="H46" t="n">
        <v>6.3</v>
      </c>
      <c r="I46" t="n">
        <v>7.4</v>
      </c>
      <c r="J46" t="n">
        <v>7.3</v>
      </c>
      <c r="K46" t="n">
        <v>9.199999999999999</v>
      </c>
    </row>
    <row r="47" customFormat="1" s="9">
      <c r="A47" s="9" t="inlineStr">
        <is>
          <t>Profit before tax</t>
        </is>
      </c>
      <c r="D47" t="n">
        <v>196.1</v>
      </c>
      <c r="E47" t="n">
        <v>311.8</v>
      </c>
      <c r="F47" t="n">
        <v>345.3</v>
      </c>
      <c r="G47" t="n">
        <v>352</v>
      </c>
      <c r="H47" t="n">
        <v>478.4</v>
      </c>
      <c r="I47" t="n">
        <v>418.5</v>
      </c>
      <c r="J47" t="n">
        <v>502.2</v>
      </c>
      <c r="K47" t="n">
        <v>593.4</v>
      </c>
    </row>
    <row r="48" customFormat="1" s="9">
      <c r="A48" s="9" t="inlineStr">
        <is>
          <t>Tax</t>
        </is>
      </c>
      <c r="D48" t="n">
        <v>50.3</v>
      </c>
      <c r="E48" t="n">
        <v>80.09999999999999</v>
      </c>
      <c r="F48" t="n">
        <v>99.2</v>
      </c>
      <c r="G48" t="n">
        <v>89.3</v>
      </c>
      <c r="H48" t="n">
        <v>118.8</v>
      </c>
      <c r="I48" t="n">
        <v>105.6</v>
      </c>
      <c r="J48" t="n">
        <v>127.6</v>
      </c>
      <c r="K48" t="n">
        <v>152.5</v>
      </c>
    </row>
    <row r="49" customFormat="1" s="9">
      <c r="A49" s="9" t="inlineStr">
        <is>
          <t>Net profit</t>
        </is>
      </c>
      <c r="D49" t="n">
        <v>145.8</v>
      </c>
      <c r="E49" t="n">
        <v>231.7</v>
      </c>
      <c r="F49" t="n">
        <v>246.1</v>
      </c>
      <c r="G49" t="n">
        <v>262.7</v>
      </c>
      <c r="H49" t="n">
        <v>359.6</v>
      </c>
      <c r="I49" t="n">
        <v>312.9</v>
      </c>
      <c r="J49" t="n">
        <v>374.6</v>
      </c>
      <c r="K49" t="n">
        <v>440.9</v>
      </c>
    </row>
    <row r="50">
      <c r="A50" s="9" t="inlineStr">
        <is>
          <t>Operating Profit</t>
        </is>
      </c>
      <c r="D50" t="n">
        <v>213.4</v>
      </c>
      <c r="E50" t="n">
        <v>335.3</v>
      </c>
      <c r="F50" t="n">
        <v>358.5</v>
      </c>
      <c r="G50" t="n">
        <v>340.3</v>
      </c>
      <c r="H50" t="n">
        <v>479.3</v>
      </c>
      <c r="I50" t="n">
        <v>460.8</v>
      </c>
      <c r="J50" t="n">
        <v>498.3</v>
      </c>
      <c r="K50" t="n">
        <v>585.7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/>
      <c r="C56" s="16" t="n"/>
      <c r="D56" s="16" t="n"/>
      <c r="E56" s="16" t="n"/>
      <c r="F56" s="16" t="n"/>
      <c r="G56" s="16" t="n"/>
      <c r="H56" s="16" t="n"/>
      <c r="I56" s="16" t="n">
        <v>45565</v>
      </c>
      <c r="J56" s="16" t="n">
        <v>45716</v>
      </c>
      <c r="K56" s="16" t="n">
        <v>45930</v>
      </c>
    </row>
    <row r="57">
      <c r="A57" s="9" t="inlineStr">
        <is>
          <t>Equity Share Capital</t>
        </is>
      </c>
      <c r="I57" t="n">
        <v>0.01</v>
      </c>
      <c r="K57" t="n">
        <v>71.2</v>
      </c>
    </row>
    <row r="58">
      <c r="A58" s="9" t="inlineStr">
        <is>
          <t>Reserves</t>
        </is>
      </c>
      <c r="I58" t="n">
        <v>-0.3</v>
      </c>
      <c r="J58" t="n">
        <v>3781.9</v>
      </c>
      <c r="K58" t="n">
        <v>4310.1</v>
      </c>
    </row>
    <row r="59">
      <c r="A59" s="9" t="inlineStr">
        <is>
          <t>Borrowings</t>
        </is>
      </c>
      <c r="I59" t="n">
        <v>0.21</v>
      </c>
      <c r="J59" t="n">
        <v>126.6</v>
      </c>
      <c r="K59" t="n">
        <v>147.6</v>
      </c>
    </row>
    <row r="60">
      <c r="A60" s="9" t="inlineStr">
        <is>
          <t>Other Liabilities</t>
        </is>
      </c>
      <c r="I60" t="n">
        <v>0.39</v>
      </c>
      <c r="J60" t="n">
        <v>3520</v>
      </c>
      <c r="K60" t="n">
        <v>5016.3</v>
      </c>
    </row>
    <row r="61" customFormat="1" s="1">
      <c r="A61" s="1" t="inlineStr">
        <is>
          <t>Total</t>
        </is>
      </c>
      <c r="I61" t="n">
        <v>0.31</v>
      </c>
      <c r="J61" t="n">
        <v>7428.5</v>
      </c>
      <c r="K61" t="n">
        <v>9545.200000000001</v>
      </c>
    </row>
    <row r="62">
      <c r="A62" s="9" t="inlineStr">
        <is>
          <t>Net Block</t>
        </is>
      </c>
      <c r="I62" t="n">
        <v>0.26</v>
      </c>
      <c r="J62" t="n">
        <v>434.8</v>
      </c>
      <c r="K62" t="n">
        <v>536.1</v>
      </c>
    </row>
    <row r="63">
      <c r="A63" s="9" t="inlineStr">
        <is>
          <t>Capital Work in Progress</t>
        </is>
      </c>
      <c r="J63" t="n">
        <v>93</v>
      </c>
      <c r="K63" t="n">
        <v>75.90000000000001</v>
      </c>
    </row>
    <row r="64">
      <c r="A64" s="9" t="inlineStr">
        <is>
          <t>Investments</t>
        </is>
      </c>
    </row>
    <row r="65">
      <c r="A65" s="9" t="inlineStr">
        <is>
          <t>Other Assets</t>
        </is>
      </c>
      <c r="I65" t="n">
        <v>0.05</v>
      </c>
      <c r="J65" t="n">
        <v>6900.7</v>
      </c>
      <c r="K65" t="n">
        <v>8933.200000000001</v>
      </c>
    </row>
    <row r="66" customFormat="1" s="1">
      <c r="A66" s="1" t="inlineStr">
        <is>
          <t>Total</t>
        </is>
      </c>
      <c r="I66" t="n">
        <v>0.31</v>
      </c>
      <c r="J66" t="n">
        <v>7428.5</v>
      </c>
      <c r="K66" t="n">
        <v>9545.200000000001</v>
      </c>
    </row>
    <row r="67" customFormat="1" s="9">
      <c r="A67" s="9" t="inlineStr">
        <is>
          <t>Receivables</t>
        </is>
      </c>
      <c r="J67" t="n">
        <v>1934.9</v>
      </c>
      <c r="K67" t="n">
        <v>1920.5</v>
      </c>
    </row>
    <row r="68">
      <c r="A68" s="9" t="inlineStr">
        <is>
          <t>Inventory</t>
        </is>
      </c>
      <c r="J68" t="n">
        <v>814.5</v>
      </c>
      <c r="K68" t="n">
        <v>760.3</v>
      </c>
    </row>
    <row r="69">
      <c r="A69" s="21" t="inlineStr">
        <is>
          <t>Cash &amp; Bank</t>
        </is>
      </c>
      <c r="I69" t="n">
        <v>0.01</v>
      </c>
      <c r="K69" t="n">
        <v>3462</v>
      </c>
    </row>
    <row r="70">
      <c r="A70" s="21" t="inlineStr">
        <is>
          <t>No. of Equity Shares</t>
        </is>
      </c>
      <c r="K70" t="n">
        <v>356120505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I72" t="n">
        <v>2</v>
      </c>
      <c r="K72" t="n">
        <v>2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/>
      <c r="C81" s="16" t="n"/>
      <c r="D81" s="16" t="n"/>
      <c r="E81" s="16" t="n"/>
      <c r="F81" s="16" t="n"/>
      <c r="G81" s="16" t="n"/>
      <c r="H81" s="16" t="n"/>
      <c r="I81" s="16" t="n">
        <v>45565</v>
      </c>
      <c r="J81" s="16" t="n">
        <v>45716</v>
      </c>
      <c r="K81" s="16" t="n">
        <v>45930</v>
      </c>
    </row>
    <row r="82" customFormat="1" s="1">
      <c r="A82" s="9" t="inlineStr">
        <is>
          <t>Cash from Operating Activity</t>
        </is>
      </c>
      <c r="J82" t="n">
        <v>102.9</v>
      </c>
      <c r="K82" t="n">
        <v>3670.1</v>
      </c>
    </row>
    <row r="83" customFormat="1" s="9">
      <c r="A83" s="9" t="inlineStr">
        <is>
          <t>Cash from Investing Activity</t>
        </is>
      </c>
      <c r="J83" t="n">
        <v>-79.59999999999999</v>
      </c>
      <c r="K83" t="n">
        <v>-3482.6</v>
      </c>
    </row>
    <row r="84" customFormat="1" s="9">
      <c r="A84" s="9" t="inlineStr">
        <is>
          <t>Cash from Financing Activity</t>
        </is>
      </c>
      <c r="I84" t="n">
        <v>0.01</v>
      </c>
      <c r="J84" t="n">
        <v>-23.3</v>
      </c>
      <c r="K84" t="n">
        <v>-55.3</v>
      </c>
    </row>
    <row r="85" customFormat="1" s="1">
      <c r="A85" s="9" t="inlineStr">
        <is>
          <t>Net Cash Flow</t>
        </is>
      </c>
      <c r="I85" t="n">
        <v>0.01</v>
      </c>
      <c r="K85" t="n">
        <v>132.2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K90" t="n">
        <v>3432.8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>
        <f>IF($B7&gt;0,(B70*B72/$B7)+SUM(C71:$K71),0)/10000000</f>
        <v/>
      </c>
      <c r="C93" s="31">
        <f>IF($B7&gt;0,(C70*C72/$B7)+SUM(D71:$K71),0)/10000000</f>
        <v/>
      </c>
      <c r="D93" s="31">
        <f>IF($B7&gt;0,(D70*D72/$B7)+SUM(E71:$K71),0)/10000000</f>
        <v/>
      </c>
      <c r="E93" s="31">
        <f>IF($B7&gt;0,(E70*E72/$B7)+SUM(F71:$K71),0)/10000000</f>
        <v/>
      </c>
      <c r="F93" s="31">
        <f>IF($B7&gt;0,(F70*F72/$B7)+SUM(G71:$K71),0)/10000000</f>
        <v/>
      </c>
      <c r="G93" s="31">
        <f>IF($B7&gt;0,(G70*G72/$B7)+SUM(H71:$K71),0)/10000000</f>
        <v/>
      </c>
      <c r="H93" s="31">
        <f>IF($B7&gt;0,(H70*H72/$B7)+SUM(I71:$K71),0)/10000000</f>
        <v/>
      </c>
      <c r="I93" s="31">
        <f>IF($B7&gt;0,(I70*I72/$B7)+SUM(J71:$K71),0)/10000000</f>
        <v/>
      </c>
      <c r="J93" s="31">
        <f>IF($B7&gt;0,(J70*J72/$B7)+SUM(K71:$K71),0)/10000000</f>
        <v/>
      </c>
      <c r="K93" s="31" t="n">
        <v>35.61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2026-09-15T17:23:42Z</dcterms:modified>
  <cp:lastModifiedBy>Pratyush Mittal</cp:lastModifiedBy>
  <cp:lastPrinted>2012-12-06T18:14:13Z</cp:lastPrinted>
</cp:coreProperties>
</file>