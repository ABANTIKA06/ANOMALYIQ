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ATHER ENERGY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1578.5</v>
      </c>
    </row>
    <row r="9">
      <c r="A9" s="21" t="inlineStr">
        <is>
          <t>Market Capitalization</t>
        </is>
      </c>
      <c r="B9" t="n">
        <v>62603.88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>
        <v>46112</v>
      </c>
    </row>
    <row r="17" customFormat="1" s="9">
      <c r="A17" s="9" t="inlineStr">
        <is>
          <t>Sales</t>
        </is>
      </c>
      <c r="K17" t="n">
        <v>3671.76</v>
      </c>
    </row>
    <row r="18" customFormat="1" s="9">
      <c r="A18" s="21" t="inlineStr">
        <is>
          <t>Raw Material Cost</t>
        </is>
      </c>
      <c r="K18" t="n">
        <v>2905.19</v>
      </c>
    </row>
    <row r="19" customFormat="1" s="9">
      <c r="A19" s="21" t="inlineStr">
        <is>
          <t>Change in Inventory</t>
        </is>
      </c>
      <c r="K19" t="n">
        <v>7.58</v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</row>
    <row r="22" customFormat="1" s="9">
      <c r="A22" s="21" t="inlineStr">
        <is>
          <t>Employee Cost</t>
        </is>
      </c>
      <c r="K22" t="n">
        <v>481.6</v>
      </c>
    </row>
    <row r="23" customFormat="1" s="9">
      <c r="A23" s="21" t="inlineStr">
        <is>
          <t>Selling and admin</t>
        </is>
      </c>
    </row>
    <row r="24" customFormat="1" s="9">
      <c r="A24" s="21" t="inlineStr">
        <is>
          <t>Other Expenses</t>
        </is>
      </c>
      <c r="K24" t="n">
        <v>700.91</v>
      </c>
    </row>
    <row r="25" customFormat="1" s="9">
      <c r="A25" s="9" t="inlineStr">
        <is>
          <t>Other Income</t>
        </is>
      </c>
      <c r="K25" t="n">
        <v>146.28</v>
      </c>
    </row>
    <row r="26" customFormat="1" s="9">
      <c r="A26" s="9" t="inlineStr">
        <is>
          <t>Depreciation</t>
        </is>
      </c>
      <c r="K26" t="n">
        <v>172.89</v>
      </c>
    </row>
    <row r="27" customFormat="1" s="9">
      <c r="A27" s="9" t="inlineStr">
        <is>
          <t>Interest</t>
        </is>
      </c>
      <c r="K27" t="n">
        <v>82.2</v>
      </c>
    </row>
    <row r="28" customFormat="1" s="9">
      <c r="A28" s="9" t="inlineStr">
        <is>
          <t>Profit before tax</t>
        </is>
      </c>
      <c r="K28" t="n">
        <v>-517.17</v>
      </c>
    </row>
    <row r="29" customFormat="1" s="9">
      <c r="A29" s="9" t="inlineStr">
        <is>
          <t>Tax</t>
        </is>
      </c>
    </row>
    <row r="30" customFormat="1" s="9">
      <c r="A30" s="9" t="inlineStr">
        <is>
          <t>Net profit</t>
        </is>
      </c>
      <c r="K30" t="n">
        <v>-517.17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>
        <v>45838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I42" t="n">
        <v>644.58</v>
      </c>
      <c r="J42" t="n">
        <v>1174.66</v>
      </c>
      <c r="K42" t="n">
        <v>1216.92</v>
      </c>
    </row>
    <row r="43" customFormat="1" s="9">
      <c r="A43" s="9" t="inlineStr">
        <is>
          <t>Expenses</t>
        </is>
      </c>
      <c r="I43" t="n">
        <v>778.88</v>
      </c>
      <c r="J43" t="n">
        <v>1244.24</v>
      </c>
      <c r="K43" t="n">
        <v>1250.2</v>
      </c>
    </row>
    <row r="44" customFormat="1" s="9">
      <c r="A44" s="9" t="inlineStr">
        <is>
          <t>Other Income</t>
        </is>
      </c>
      <c r="I44" t="n">
        <v>28.33</v>
      </c>
      <c r="J44" t="n">
        <v>39.11</v>
      </c>
      <c r="K44" t="n">
        <v>42.73</v>
      </c>
    </row>
    <row r="45" customFormat="1" s="9">
      <c r="A45" s="9" t="inlineStr">
        <is>
          <t>Depreciation</t>
        </is>
      </c>
      <c r="I45" t="n">
        <v>48.14</v>
      </c>
      <c r="J45" t="n">
        <v>51.8</v>
      </c>
      <c r="K45" t="n">
        <v>38.96</v>
      </c>
    </row>
    <row r="46" customFormat="1" s="9">
      <c r="A46" s="9" t="inlineStr">
        <is>
          <t>Interest</t>
        </is>
      </c>
      <c r="I46" t="n">
        <v>24.12</v>
      </c>
      <c r="J46" t="n">
        <v>17.96</v>
      </c>
      <c r="K46" t="n">
        <v>21.58</v>
      </c>
    </row>
    <row r="47" customFormat="1" s="9">
      <c r="A47" s="9" t="inlineStr">
        <is>
          <t>Profit before tax</t>
        </is>
      </c>
      <c r="I47" t="n">
        <v>-178.23</v>
      </c>
      <c r="J47" t="n">
        <v>-100.23</v>
      </c>
      <c r="K47" t="n">
        <v>-51.09</v>
      </c>
    </row>
    <row r="48" customFormat="1" s="9">
      <c r="A48" s="9" t="inlineStr">
        <is>
          <t>Tax</t>
        </is>
      </c>
    </row>
    <row r="49" customFormat="1" s="9">
      <c r="A49" s="9" t="inlineStr">
        <is>
          <t>Net profit</t>
        </is>
      </c>
      <c r="I49" t="n">
        <v>-178.23</v>
      </c>
      <c r="J49" t="n">
        <v>-100.23</v>
      </c>
      <c r="K49" t="n">
        <v>-51.09</v>
      </c>
    </row>
    <row r="50">
      <c r="A50" s="9" t="inlineStr">
        <is>
          <t>Operating Profit</t>
        </is>
      </c>
      <c r="I50" t="n">
        <v>-134.3</v>
      </c>
      <c r="J50" t="n">
        <v>-69.58</v>
      </c>
      <c r="K50" t="n">
        <v>-33.28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>
        <v>46112</v>
      </c>
    </row>
    <row r="57">
      <c r="A57" s="9" t="inlineStr">
        <is>
          <t>Equity Share Capital</t>
        </is>
      </c>
    </row>
    <row r="58">
      <c r="A58" s="9" t="inlineStr">
        <is>
          <t>Reserves</t>
        </is>
      </c>
    </row>
    <row r="59">
      <c r="A59" s="9" t="inlineStr">
        <is>
          <t>Borrowings</t>
        </is>
      </c>
    </row>
    <row r="60">
      <c r="A60" s="9" t="inlineStr">
        <is>
          <t>Other Liabilities</t>
        </is>
      </c>
    </row>
    <row r="61" customFormat="1" s="1">
      <c r="A61" s="1" t="inlineStr">
        <is>
          <t>Total</t>
        </is>
      </c>
    </row>
    <row r="62">
      <c r="A62" s="9" t="inlineStr">
        <is>
          <t>Net Block</t>
        </is>
      </c>
    </row>
    <row r="63">
      <c r="A63" s="9" t="inlineStr">
        <is>
          <t>Capital Work in Progress</t>
        </is>
      </c>
    </row>
    <row r="64">
      <c r="A64" s="9" t="inlineStr">
        <is>
          <t>Investments</t>
        </is>
      </c>
    </row>
    <row r="65">
      <c r="A65" s="9" t="inlineStr">
        <is>
          <t>Other Assets</t>
        </is>
      </c>
    </row>
    <row r="66" customFormat="1" s="1">
      <c r="A66" s="1" t="inlineStr">
        <is>
          <t>Total</t>
        </is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</row>
    <row r="70">
      <c r="A70" s="21" t="inlineStr">
        <is>
          <t>No. of Equity Shares</t>
        </is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>
        <v>46112</v>
      </c>
    </row>
    <row r="82" customFormat="1" s="1">
      <c r="A82" s="9" t="inlineStr">
        <is>
          <t>Cash from Operating Activity</t>
        </is>
      </c>
    </row>
    <row r="83" customFormat="1" s="9">
      <c r="A83" s="9" t="inlineStr">
        <is>
          <t>Cash from Investing Activity</t>
        </is>
      </c>
    </row>
    <row r="84" customFormat="1" s="9">
      <c r="A84" s="9" t="inlineStr">
        <is>
          <t>Cash from Financing Activity</t>
        </is>
      </c>
    </row>
    <row r="85" customFormat="1" s="1">
      <c r="A85" s="9" t="inlineStr">
        <is>
          <t>Net Cash Flow</t>
        </is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754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>
        <f>IF($B7&gt;0,(I70*I72/$B7)+SUM(J71:$K71),0)/10000000</f>
        <v/>
      </c>
      <c r="J93" s="31">
        <f>IF($B7&gt;0,(J70*J72/$B7)+SUM(K71:$K71),0)/10000000</f>
        <v/>
      </c>
      <c r="K93" s="31" t="n">
        <v>38.27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2026-09-15T17:23:23Z</dcterms:modified>
  <cp:lastModifiedBy>Pratyush Mittal</cp:lastModifiedBy>
  <cp:lastPrinted>2012-12-06T18:14:13Z</cp:lastPrinted>
</cp:coreProperties>
</file>