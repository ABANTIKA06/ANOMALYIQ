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MOTORS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429.5</v>
      </c>
    </row>
    <row r="9">
      <c r="A9" s="21" t="inlineStr">
        <is>
          <t>Market Capitalization</t>
        </is>
      </c>
      <c r="B9" t="n">
        <v>158175.79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J17" t="n">
        <v>58217</v>
      </c>
      <c r="K17" t="n">
        <v>83855</v>
      </c>
    </row>
    <row r="18" customFormat="1" s="9">
      <c r="A18" s="21" t="inlineStr">
        <is>
          <t>Raw Material Cost</t>
        </is>
      </c>
      <c r="J18" t="n">
        <v>37181</v>
      </c>
      <c r="K18" t="n">
        <v>57024</v>
      </c>
    </row>
    <row r="19" customFormat="1" s="9">
      <c r="A19" s="21" t="inlineStr">
        <is>
          <t>Change in Inventory</t>
        </is>
      </c>
      <c r="J19" t="n">
        <v>-2015</v>
      </c>
      <c r="K19" t="n">
        <v>292</v>
      </c>
    </row>
    <row r="20" customFormat="1" s="9">
      <c r="A20" s="21" t="inlineStr">
        <is>
          <t>Power and Fuel</t>
        </is>
      </c>
      <c r="J20" t="n">
        <v>457</v>
      </c>
      <c r="K20" t="n">
        <v>627</v>
      </c>
    </row>
    <row r="21" customFormat="1" s="9">
      <c r="A21" s="21" t="inlineStr">
        <is>
          <t>Other Mfr. Exp</t>
        </is>
      </c>
      <c r="J21" t="n">
        <v>2063</v>
      </c>
      <c r="K21" t="n">
        <v>2693</v>
      </c>
    </row>
    <row r="22" customFormat="1" s="9">
      <c r="A22" s="21" t="inlineStr">
        <is>
          <t>Employee Cost</t>
        </is>
      </c>
      <c r="J22" t="n">
        <v>4223</v>
      </c>
      <c r="K22" t="n">
        <v>5804</v>
      </c>
    </row>
    <row r="23" customFormat="1" s="9">
      <c r="A23" s="21" t="inlineStr">
        <is>
          <t>Selling and admin</t>
        </is>
      </c>
      <c r="J23" t="n">
        <v>3788</v>
      </c>
      <c r="K23" t="n">
        <v>4789</v>
      </c>
    </row>
    <row r="24" customFormat="1" s="9">
      <c r="A24" s="21" t="inlineStr">
        <is>
          <t>Other Expenses</t>
        </is>
      </c>
      <c r="J24" t="n">
        <v>2318</v>
      </c>
      <c r="K24" t="n">
        <v>5593</v>
      </c>
    </row>
    <row r="25" customFormat="1" s="9">
      <c r="A25" s="9" t="inlineStr">
        <is>
          <t>Other Income</t>
        </is>
      </c>
      <c r="J25" t="n">
        <v>685</v>
      </c>
      <c r="K25" t="n">
        <v>-135</v>
      </c>
    </row>
    <row r="26" customFormat="1" s="9">
      <c r="A26" s="9" t="inlineStr">
        <is>
          <t>Depreciation</t>
        </is>
      </c>
      <c r="J26" t="n">
        <v>1690</v>
      </c>
      <c r="K26" t="n">
        <v>1945</v>
      </c>
    </row>
    <row r="27" customFormat="1" s="9">
      <c r="A27" s="9" t="inlineStr">
        <is>
          <t>Interest</t>
        </is>
      </c>
      <c r="J27" t="n">
        <v>1079</v>
      </c>
      <c r="K27" t="n">
        <v>874</v>
      </c>
    </row>
    <row r="28" customFormat="1" s="9">
      <c r="A28" s="9" t="inlineStr">
        <is>
          <t>Profit before tax</t>
        </is>
      </c>
      <c r="J28" t="n">
        <v>4088</v>
      </c>
      <c r="K28" t="n">
        <v>4663</v>
      </c>
    </row>
    <row r="29" customFormat="1" s="9">
      <c r="A29" s="9" t="inlineStr">
        <is>
          <t>Tax</t>
        </is>
      </c>
      <c r="J29" t="n">
        <v>893</v>
      </c>
      <c r="K29" t="n">
        <v>1633</v>
      </c>
    </row>
    <row r="30" customFormat="1" s="9">
      <c r="A30" s="9" t="inlineStr">
        <is>
          <t>Net profit</t>
        </is>
      </c>
      <c r="J30" t="n">
        <v>3195</v>
      </c>
      <c r="K30" t="n">
        <v>3030</v>
      </c>
    </row>
    <row r="31" customFormat="1" s="9">
      <c r="A31" s="9" t="inlineStr">
        <is>
          <t>Dividend Amount</t>
        </is>
      </c>
      <c r="K31" t="n">
        <v>1472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17535</v>
      </c>
      <c r="E42" t="n">
        <v>18819</v>
      </c>
      <c r="F42" t="n">
        <v>21863</v>
      </c>
      <c r="G42" t="n">
        <v>17324</v>
      </c>
      <c r="H42" t="n">
        <v>18585</v>
      </c>
      <c r="I42" t="n">
        <v>21847</v>
      </c>
      <c r="J42" t="n">
        <v>26098</v>
      </c>
      <c r="K42" t="n">
        <v>20667</v>
      </c>
    </row>
    <row r="43" customFormat="1" s="9">
      <c r="A43" s="9" t="inlineStr">
        <is>
          <t>Expenses</t>
        </is>
      </c>
      <c r="D43" t="n">
        <v>15828</v>
      </c>
      <c r="E43" t="n">
        <v>16786</v>
      </c>
      <c r="F43" t="n">
        <v>19432</v>
      </c>
      <c r="G43" t="n">
        <v>15248</v>
      </c>
      <c r="H43" t="n">
        <v>16553</v>
      </c>
      <c r="I43" t="n">
        <v>19260</v>
      </c>
      <c r="J43" t="n">
        <v>22771</v>
      </c>
      <c r="K43" t="n">
        <v>17395</v>
      </c>
    </row>
    <row r="44" customFormat="1" s="9">
      <c r="A44" s="9" t="inlineStr">
        <is>
          <t>Other Income</t>
        </is>
      </c>
      <c r="D44" t="n">
        <v>206</v>
      </c>
      <c r="E44" t="n">
        <v>407</v>
      </c>
      <c r="F44" t="n">
        <v>72</v>
      </c>
      <c r="G44" t="n">
        <v>332</v>
      </c>
      <c r="H44" t="n">
        <v>-1865</v>
      </c>
      <c r="I44" t="n">
        <v>-981</v>
      </c>
      <c r="J44" t="n">
        <v>-28</v>
      </c>
      <c r="K44" t="n">
        <v>341</v>
      </c>
    </row>
    <row r="45" customFormat="1" s="9">
      <c r="A45" s="9" t="inlineStr">
        <is>
          <t>Depreciation</t>
        </is>
      </c>
      <c r="D45" t="n">
        <v>541</v>
      </c>
      <c r="E45" t="n">
        <v>557</v>
      </c>
      <c r="F45" t="n">
        <v>592</v>
      </c>
      <c r="G45" t="n">
        <v>480</v>
      </c>
      <c r="H45" t="n">
        <v>472</v>
      </c>
      <c r="I45" t="n">
        <v>483</v>
      </c>
      <c r="J45" t="n">
        <v>510</v>
      </c>
      <c r="K45" t="n">
        <v>508</v>
      </c>
    </row>
    <row r="46" customFormat="1" s="9">
      <c r="A46" s="9" t="inlineStr">
        <is>
          <t>Interest</t>
        </is>
      </c>
      <c r="D46" t="n">
        <v>408</v>
      </c>
      <c r="E46" t="n">
        <v>352</v>
      </c>
      <c r="F46" t="n">
        <v>319</v>
      </c>
      <c r="G46" t="n">
        <v>254</v>
      </c>
      <c r="H46" t="n">
        <v>256</v>
      </c>
      <c r="I46" t="n">
        <v>198</v>
      </c>
      <c r="J46" t="n">
        <v>166</v>
      </c>
      <c r="K46" t="n">
        <v>135</v>
      </c>
    </row>
    <row r="47" customFormat="1" s="9">
      <c r="A47" s="9" t="inlineStr">
        <is>
          <t>Profit before tax</t>
        </is>
      </c>
      <c r="D47" t="n">
        <v>964</v>
      </c>
      <c r="E47" t="n">
        <v>1531</v>
      </c>
      <c r="F47" t="n">
        <v>1592</v>
      </c>
      <c r="G47" t="n">
        <v>1674</v>
      </c>
      <c r="H47" t="n">
        <v>-561</v>
      </c>
      <c r="I47" t="n">
        <v>925</v>
      </c>
      <c r="J47" t="n">
        <v>2623</v>
      </c>
      <c r="K47" t="n">
        <v>2970</v>
      </c>
    </row>
    <row r="48" customFormat="1" s="9">
      <c r="A48" s="9" t="inlineStr">
        <is>
          <t>Tax</t>
        </is>
      </c>
      <c r="D48" t="n">
        <v>466</v>
      </c>
      <c r="E48" t="n">
        <v>176</v>
      </c>
      <c r="F48" t="n">
        <v>252</v>
      </c>
      <c r="G48" t="n">
        <v>277</v>
      </c>
      <c r="H48" t="n">
        <v>306</v>
      </c>
      <c r="I48" t="n">
        <v>220</v>
      </c>
      <c r="J48" t="n">
        <v>830</v>
      </c>
      <c r="K48" t="n">
        <v>414</v>
      </c>
    </row>
    <row r="49" customFormat="1" s="9">
      <c r="A49" s="9" t="inlineStr">
        <is>
          <t>Net profit</t>
        </is>
      </c>
      <c r="D49" t="n">
        <v>498</v>
      </c>
      <c r="E49" t="n">
        <v>1355</v>
      </c>
      <c r="F49" t="n">
        <v>1340</v>
      </c>
      <c r="G49" t="n">
        <v>1397</v>
      </c>
      <c r="H49" t="n">
        <v>-867</v>
      </c>
      <c r="I49" t="n">
        <v>705</v>
      </c>
      <c r="J49" t="n">
        <v>1793</v>
      </c>
      <c r="K49" t="n">
        <v>2560</v>
      </c>
    </row>
    <row r="50">
      <c r="A50" s="9" t="inlineStr">
        <is>
          <t>Operating Profit</t>
        </is>
      </c>
      <c r="D50" t="n">
        <v>1707</v>
      </c>
      <c r="E50" t="n">
        <v>2033</v>
      </c>
      <c r="F50" t="n">
        <v>2431</v>
      </c>
      <c r="G50" t="n">
        <v>2076</v>
      </c>
      <c r="H50" t="n">
        <v>2032</v>
      </c>
      <c r="I50" t="n">
        <v>2587</v>
      </c>
      <c r="J50" t="n">
        <v>3327</v>
      </c>
      <c r="K50" t="n">
        <v>3272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K57" t="n">
        <v>736</v>
      </c>
    </row>
    <row r="58">
      <c r="A58" s="9" t="inlineStr">
        <is>
          <t>Reserves</t>
        </is>
      </c>
      <c r="J58" t="n">
        <v>10533</v>
      </c>
      <c r="K58" t="n">
        <v>11998</v>
      </c>
    </row>
    <row r="59">
      <c r="A59" s="9" t="inlineStr">
        <is>
          <t>Borrowings</t>
        </is>
      </c>
      <c r="J59" t="n">
        <v>9925</v>
      </c>
      <c r="K59" t="n">
        <v>5615</v>
      </c>
    </row>
    <row r="60">
      <c r="A60" s="9" t="inlineStr">
        <is>
          <t>Other Liabilities</t>
        </is>
      </c>
      <c r="J60" t="n">
        <v>26393</v>
      </c>
      <c r="K60" t="n">
        <v>33960</v>
      </c>
    </row>
    <row r="61" customFormat="1" s="1">
      <c r="A61" s="1" t="inlineStr">
        <is>
          <t>Total</t>
        </is>
      </c>
      <c r="J61" t="n">
        <v>46851</v>
      </c>
      <c r="K61" t="n">
        <v>52309</v>
      </c>
    </row>
    <row r="62">
      <c r="A62" s="9" t="inlineStr">
        <is>
          <t>Net Block</t>
        </is>
      </c>
      <c r="J62" t="n">
        <v>13664</v>
      </c>
      <c r="K62" t="n">
        <v>13962</v>
      </c>
    </row>
    <row r="63">
      <c r="A63" s="9" t="inlineStr">
        <is>
          <t>Capital Work in Progress</t>
        </is>
      </c>
      <c r="J63" t="n">
        <v>1875</v>
      </c>
      <c r="K63" t="n">
        <v>2026</v>
      </c>
    </row>
    <row r="64">
      <c r="A64" s="9" t="inlineStr">
        <is>
          <t>Investments</t>
        </is>
      </c>
      <c r="J64" t="n">
        <v>5282</v>
      </c>
      <c r="K64" t="n">
        <v>13283</v>
      </c>
    </row>
    <row r="65">
      <c r="A65" s="9" t="inlineStr">
        <is>
          <t>Other Assets</t>
        </is>
      </c>
      <c r="J65" t="n">
        <v>26030</v>
      </c>
      <c r="K65" t="n">
        <v>23038</v>
      </c>
    </row>
    <row r="66" customFormat="1" s="1">
      <c r="A66" s="1" t="inlineStr">
        <is>
          <t>Total</t>
        </is>
      </c>
      <c r="J66" t="n">
        <v>46851</v>
      </c>
      <c r="K66" t="n">
        <v>52309</v>
      </c>
    </row>
    <row r="67" customFormat="1" s="9">
      <c r="A67" s="9" t="inlineStr">
        <is>
          <t>Receivables</t>
        </is>
      </c>
      <c r="J67" t="n">
        <v>3064</v>
      </c>
      <c r="K67" t="n">
        <v>2721</v>
      </c>
    </row>
    <row r="68">
      <c r="A68" s="9" t="inlineStr">
        <is>
          <t>Inventory</t>
        </is>
      </c>
      <c r="J68" t="n">
        <v>4625</v>
      </c>
      <c r="K68" t="n">
        <v>5448</v>
      </c>
    </row>
    <row r="69">
      <c r="A69" s="21" t="inlineStr">
        <is>
          <t>Cash &amp; Bank</t>
        </is>
      </c>
      <c r="J69" t="n">
        <v>2266</v>
      </c>
      <c r="K69" t="n">
        <v>7776</v>
      </c>
    </row>
    <row r="70">
      <c r="A70" s="21" t="inlineStr">
        <is>
          <t>No. of Equity Shares</t>
        </is>
      </c>
      <c r="K70" t="n">
        <v>3682331373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J82" t="n">
        <v>8547</v>
      </c>
      <c r="K82" t="n">
        <v>14981</v>
      </c>
    </row>
    <row r="83" customFormat="1" s="9">
      <c r="A83" s="9" t="inlineStr">
        <is>
          <t>Cash from Investing Activity</t>
        </is>
      </c>
      <c r="J83" t="n">
        <v>456</v>
      </c>
      <c r="K83" t="n">
        <v>-3892</v>
      </c>
    </row>
    <row r="84" customFormat="1" s="9">
      <c r="A84" s="9" t="inlineStr">
        <is>
          <t>Cash from Financing Activity</t>
        </is>
      </c>
      <c r="J84" t="n">
        <v>-7970</v>
      </c>
      <c r="K84" t="n">
        <v>-5223</v>
      </c>
    </row>
    <row r="85" customFormat="1" s="1">
      <c r="A85" s="9" t="inlineStr">
        <is>
          <t>Net Cash Flow</t>
        </is>
      </c>
      <c r="J85" t="n">
        <v>1033</v>
      </c>
      <c r="K85" t="n">
        <v>5866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394.8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>
        <f>IF($B7&gt;0,(J70*J72/$B7)+SUM(K71:$K71),0)/10000000</f>
        <v/>
      </c>
      <c r="K93" s="31" t="n">
        <v>368.23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2026-09-15T17:24:52Z</dcterms:modified>
  <cp:lastModifiedBy>Pratyush Mittal</cp:lastModifiedBy>
  <cp:lastPrinted>2012-12-06T18:14:13Z</cp:lastPrinted>
</cp:coreProperties>
</file>