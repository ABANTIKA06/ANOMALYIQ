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AAVAS FINANCIERS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1280.55</v>
      </c>
    </row>
    <row r="9">
      <c r="A9" s="21" t="inlineStr">
        <is>
          <t>Market Capitalization</t>
        </is>
      </c>
      <c r="B9" t="n">
        <v>10154.04</v>
      </c>
    </row>
    <row r="10">
      <c r="A10" t="inlineStr">
        <is>
          <t>Industry</t>
        </is>
      </c>
      <c r="B10" t="inlineStr">
        <is>
          <t>Financial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/>
      <c r="D16" s="16" t="n"/>
      <c r="E16" s="16" t="n">
        <v>43190</v>
      </c>
      <c r="F16" s="16" t="n">
        <v>43555</v>
      </c>
      <c r="G16" s="16" t="n">
        <v>43921</v>
      </c>
      <c r="H16" s="16" t="n">
        <v>44286</v>
      </c>
      <c r="I16" s="16" t="n">
        <v>44651</v>
      </c>
      <c r="J16" s="16" t="n">
        <v>45016</v>
      </c>
      <c r="K16" s="16" t="n">
        <v>45382</v>
      </c>
    </row>
    <row r="17" customFormat="1" s="9">
      <c r="A17" s="9" t="inlineStr">
        <is>
          <t>Sales</t>
        </is>
      </c>
      <c r="E17" t="n">
        <v>493.57</v>
      </c>
      <c r="F17" t="n">
        <v>710.17</v>
      </c>
      <c r="G17" t="n">
        <v>902.55</v>
      </c>
      <c r="H17" t="n">
        <v>1103.36</v>
      </c>
      <c r="I17" t="n">
        <v>1304.45</v>
      </c>
      <c r="J17" t="n">
        <v>1608.76</v>
      </c>
      <c r="K17" t="n">
        <v>2017.9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  <c r="E20" t="n">
        <v>1.19</v>
      </c>
      <c r="F20" t="n">
        <v>2.14</v>
      </c>
      <c r="G20" t="n">
        <v>2.47</v>
      </c>
      <c r="H20" t="n">
        <v>2.7</v>
      </c>
      <c r="I20" t="n">
        <v>2.99</v>
      </c>
      <c r="J20" t="n">
        <v>4.17</v>
      </c>
      <c r="K20" t="n">
        <v>4.69</v>
      </c>
    </row>
    <row r="21" customFormat="1" s="9">
      <c r="A21" s="21" t="inlineStr">
        <is>
          <t>Other Mfr. Exp</t>
        </is>
      </c>
      <c r="E21" t="n">
        <v>19.73</v>
      </c>
      <c r="F21" t="n">
        <v>26.74</v>
      </c>
      <c r="G21" t="n">
        <v>24.68</v>
      </c>
      <c r="H21" t="n">
        <v>30.68</v>
      </c>
      <c r="I21" t="n">
        <v>40.28</v>
      </c>
      <c r="J21" t="n">
        <v>48.04</v>
      </c>
      <c r="K21" t="n">
        <v>47.85</v>
      </c>
    </row>
    <row r="22" customFormat="1" s="9">
      <c r="A22" s="21" t="inlineStr">
        <is>
          <t>Employee Cost</t>
        </is>
      </c>
      <c r="E22" t="n">
        <v>111.97</v>
      </c>
      <c r="F22" t="n">
        <v>117.7</v>
      </c>
      <c r="G22" t="n">
        <v>148.12</v>
      </c>
      <c r="H22" t="n">
        <v>174.25</v>
      </c>
      <c r="I22" t="n">
        <v>235.6</v>
      </c>
      <c r="J22" t="n">
        <v>302.9</v>
      </c>
      <c r="K22" t="n">
        <v>357.22</v>
      </c>
    </row>
    <row r="23" customFormat="1" s="9">
      <c r="A23" s="21" t="inlineStr">
        <is>
          <t>Selling and admin</t>
        </is>
      </c>
      <c r="E23" t="n">
        <v>25.02</v>
      </c>
      <c r="F23" t="n">
        <v>30.99</v>
      </c>
      <c r="G23" t="n">
        <v>31.83</v>
      </c>
      <c r="H23" t="n">
        <v>24.76</v>
      </c>
      <c r="I23" t="n">
        <v>43.76</v>
      </c>
      <c r="J23" t="n">
        <v>67.48</v>
      </c>
      <c r="K23" t="n">
        <v>91.87</v>
      </c>
    </row>
    <row r="24" customFormat="1" s="9">
      <c r="A24" s="21" t="inlineStr">
        <is>
          <t>Other Expenses</t>
        </is>
      </c>
      <c r="E24" t="n">
        <v>3.61</v>
      </c>
      <c r="F24" t="n">
        <v>10.66</v>
      </c>
      <c r="G24" t="n">
        <v>18.68</v>
      </c>
      <c r="H24" t="n">
        <v>41.73</v>
      </c>
      <c r="I24" t="n">
        <v>29.07</v>
      </c>
      <c r="J24" t="n">
        <v>19.82</v>
      </c>
      <c r="K24" t="n">
        <v>32.68</v>
      </c>
    </row>
    <row r="25" customFormat="1" s="9">
      <c r="A25" s="9" t="inlineStr">
        <is>
          <t>Other Income</t>
        </is>
      </c>
      <c r="E25" t="n">
        <v>0.91</v>
      </c>
      <c r="F25" t="n">
        <v>1</v>
      </c>
      <c r="G25" t="n">
        <v>0.8</v>
      </c>
      <c r="H25" t="n">
        <v>2.16</v>
      </c>
      <c r="I25" t="n">
        <v>1.2</v>
      </c>
      <c r="J25" t="n">
        <v>1.84</v>
      </c>
      <c r="K25" t="n">
        <v>2.8</v>
      </c>
    </row>
    <row r="26" customFormat="1" s="9">
      <c r="A26" s="9" t="inlineStr">
        <is>
          <t>Depreciation</t>
        </is>
      </c>
      <c r="E26" t="n">
        <v>5.63</v>
      </c>
      <c r="F26" t="n">
        <v>9.720000000000001</v>
      </c>
      <c r="G26" t="n">
        <v>19.56</v>
      </c>
      <c r="H26" t="n">
        <v>20.61</v>
      </c>
      <c r="I26" t="n">
        <v>23.76</v>
      </c>
      <c r="J26" t="n">
        <v>28.72</v>
      </c>
      <c r="K26" t="n">
        <v>32.66</v>
      </c>
    </row>
    <row r="27" customFormat="1" s="9">
      <c r="A27" s="9" t="inlineStr">
        <is>
          <t>Interest</t>
        </is>
      </c>
      <c r="E27" t="n">
        <v>193.09</v>
      </c>
      <c r="F27" t="n">
        <v>255.37</v>
      </c>
      <c r="G27" t="n">
        <v>356.07</v>
      </c>
      <c r="H27" t="n">
        <v>458.24</v>
      </c>
      <c r="I27" t="n">
        <v>477.5</v>
      </c>
      <c r="J27" t="n">
        <v>591.05</v>
      </c>
      <c r="K27" t="n">
        <v>828.36</v>
      </c>
    </row>
    <row r="28" customFormat="1" s="9">
      <c r="A28" s="9" t="inlineStr">
        <is>
          <t>Profit before tax</t>
        </is>
      </c>
      <c r="E28" t="n">
        <v>134.24</v>
      </c>
      <c r="F28" t="n">
        <v>257.85</v>
      </c>
      <c r="G28" t="n">
        <v>301.94</v>
      </c>
      <c r="H28" t="n">
        <v>352.55</v>
      </c>
      <c r="I28" t="n">
        <v>452.69</v>
      </c>
      <c r="J28" t="n">
        <v>548.42</v>
      </c>
      <c r="K28" t="n">
        <v>625.37</v>
      </c>
    </row>
    <row r="29" customFormat="1" s="9">
      <c r="A29" s="9" t="inlineStr">
        <is>
          <t>Tax</t>
        </is>
      </c>
      <c r="E29" t="n">
        <v>41.21</v>
      </c>
      <c r="F29" t="n">
        <v>81.81999999999999</v>
      </c>
      <c r="G29" t="n">
        <v>52.89</v>
      </c>
      <c r="H29" t="n">
        <v>63.63</v>
      </c>
      <c r="I29" t="n">
        <v>97.51000000000001</v>
      </c>
      <c r="J29" t="n">
        <v>118.78</v>
      </c>
      <c r="K29" t="n">
        <v>134.68</v>
      </c>
    </row>
    <row r="30" customFormat="1" s="9">
      <c r="A30" s="9" t="inlineStr">
        <is>
          <t>Net profit</t>
        </is>
      </c>
      <c r="E30" t="n">
        <v>93.04000000000001</v>
      </c>
      <c r="F30" t="n">
        <v>176.03</v>
      </c>
      <c r="G30" t="n">
        <v>249.04</v>
      </c>
      <c r="H30" t="n">
        <v>288.92</v>
      </c>
      <c r="I30" t="n">
        <v>355.18</v>
      </c>
      <c r="J30" t="n">
        <v>429.64</v>
      </c>
      <c r="K30" t="n">
        <v>490.69</v>
      </c>
    </row>
    <row r="31" customFormat="1" s="9">
      <c r="A31" s="9" t="inlineStr">
        <is>
          <t>Dividend Amount</t>
        </is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44561</v>
      </c>
      <c r="C41" s="16" t="n">
        <v>44651</v>
      </c>
      <c r="D41" s="16" t="n">
        <v>44742</v>
      </c>
      <c r="E41" s="16" t="n">
        <v>44834</v>
      </c>
      <c r="F41" s="16" t="n">
        <v>44926</v>
      </c>
      <c r="G41" s="16" t="n">
        <v>45016</v>
      </c>
      <c r="H41" s="16" t="n">
        <v>45107</v>
      </c>
      <c r="I41" s="16" t="n">
        <v>45199</v>
      </c>
      <c r="J41" s="16" t="n">
        <v>45291</v>
      </c>
      <c r="K41" s="16" t="n">
        <v>45382</v>
      </c>
    </row>
    <row r="42" customFormat="1" s="9">
      <c r="A42" s="9" t="inlineStr">
        <is>
          <t>Sales</t>
        </is>
      </c>
      <c r="B42" t="n">
        <v>342.58</v>
      </c>
      <c r="C42" t="n">
        <v>365.09</v>
      </c>
      <c r="D42" t="n">
        <v>352.86</v>
      </c>
      <c r="E42" t="n">
        <v>394.85</v>
      </c>
      <c r="F42" t="n">
        <v>411.37</v>
      </c>
      <c r="G42" t="n">
        <v>449.69</v>
      </c>
      <c r="H42" t="n">
        <v>466.97</v>
      </c>
      <c r="I42" t="n">
        <v>496.84</v>
      </c>
      <c r="J42" t="n">
        <v>508.07</v>
      </c>
      <c r="K42" t="n">
        <v>546.02</v>
      </c>
    </row>
    <row r="43" customFormat="1" s="9">
      <c r="A43" s="9" t="inlineStr">
        <is>
          <t>Expenses</t>
        </is>
      </c>
      <c r="B43" t="n">
        <v>97.03</v>
      </c>
      <c r="C43" t="n">
        <v>88.58</v>
      </c>
      <c r="D43" t="n">
        <v>97.59999999999999</v>
      </c>
      <c r="E43" t="n">
        <v>109.69</v>
      </c>
      <c r="F43" t="n">
        <v>117.07</v>
      </c>
      <c r="G43" t="n">
        <v>118.05</v>
      </c>
      <c r="H43" t="n">
        <v>132.27</v>
      </c>
      <c r="I43" t="n">
        <v>129.03</v>
      </c>
      <c r="J43" t="n">
        <v>134.22</v>
      </c>
      <c r="K43" t="n">
        <v>138.78</v>
      </c>
    </row>
    <row r="44" customFormat="1" s="9">
      <c r="A44" s="9" t="inlineStr">
        <is>
          <t>Other Income</t>
        </is>
      </c>
      <c r="B44" t="n">
        <v>0.29</v>
      </c>
      <c r="C44" t="n">
        <v>0.22</v>
      </c>
      <c r="D44" t="n">
        <v>0.09</v>
      </c>
      <c r="E44" t="n">
        <v>0.33</v>
      </c>
      <c r="F44" t="n">
        <v>0.71</v>
      </c>
      <c r="G44" t="n">
        <v>0.71</v>
      </c>
      <c r="H44" t="n">
        <v>0.04</v>
      </c>
      <c r="I44" t="n">
        <v>0.78</v>
      </c>
      <c r="J44" t="n">
        <v>1.19</v>
      </c>
      <c r="K44" t="n">
        <v>0.78</v>
      </c>
    </row>
    <row r="45" customFormat="1" s="9">
      <c r="A45" s="9" t="inlineStr">
        <is>
          <t>Depreciation</t>
        </is>
      </c>
      <c r="B45" t="n">
        <v>5.74</v>
      </c>
      <c r="C45" t="n">
        <v>7.25</v>
      </c>
      <c r="D45" t="n">
        <v>6.23</v>
      </c>
      <c r="E45" t="n">
        <v>6.92</v>
      </c>
      <c r="F45" t="n">
        <v>6.9</v>
      </c>
      <c r="G45" t="n">
        <v>8.68</v>
      </c>
      <c r="H45" t="n">
        <v>7.28</v>
      </c>
      <c r="I45" t="n">
        <v>7.63</v>
      </c>
      <c r="J45" t="n">
        <v>8.65</v>
      </c>
      <c r="K45" t="n">
        <v>9.1</v>
      </c>
    </row>
    <row r="46" customFormat="1" s="9">
      <c r="A46" s="9" t="inlineStr">
        <is>
          <t>Interest</t>
        </is>
      </c>
      <c r="B46" t="n">
        <v>125.05</v>
      </c>
      <c r="C46" t="n">
        <v>123.67</v>
      </c>
      <c r="D46" t="n">
        <v>134.68</v>
      </c>
      <c r="E46" t="n">
        <v>141.02</v>
      </c>
      <c r="F46" t="n">
        <v>150.35</v>
      </c>
      <c r="G46" t="n">
        <v>165</v>
      </c>
      <c r="H46" t="n">
        <v>186.63</v>
      </c>
      <c r="I46" t="n">
        <v>203.6</v>
      </c>
      <c r="J46" t="n">
        <v>216.57</v>
      </c>
      <c r="K46" t="n">
        <v>221.56</v>
      </c>
    </row>
    <row r="47" customFormat="1" s="9">
      <c r="A47" s="9" t="inlineStr">
        <is>
          <t>Profit before tax</t>
        </is>
      </c>
      <c r="B47" t="n">
        <v>115.05</v>
      </c>
      <c r="C47" t="n">
        <v>145.81</v>
      </c>
      <c r="D47" t="n">
        <v>114.44</v>
      </c>
      <c r="E47" t="n">
        <v>137.55</v>
      </c>
      <c r="F47" t="n">
        <v>137.76</v>
      </c>
      <c r="G47" t="n">
        <v>158.67</v>
      </c>
      <c r="H47" t="n">
        <v>140.83</v>
      </c>
      <c r="I47" t="n">
        <v>157.36</v>
      </c>
      <c r="J47" t="n">
        <v>149.82</v>
      </c>
      <c r="K47" t="n">
        <v>177.36</v>
      </c>
    </row>
    <row r="48" customFormat="1" s="9">
      <c r="A48" s="9" t="inlineStr">
        <is>
          <t>Tax</t>
        </is>
      </c>
      <c r="B48" t="n">
        <v>26.3</v>
      </c>
      <c r="C48" t="n">
        <v>30.34</v>
      </c>
      <c r="D48" t="n">
        <v>25.39</v>
      </c>
      <c r="E48" t="n">
        <v>30.91</v>
      </c>
      <c r="F48" t="n">
        <v>30.65</v>
      </c>
      <c r="G48" t="n">
        <v>31.84</v>
      </c>
      <c r="H48" t="n">
        <v>31.01</v>
      </c>
      <c r="I48" t="n">
        <v>35.7</v>
      </c>
      <c r="J48" t="n">
        <v>33.09</v>
      </c>
      <c r="K48" t="n">
        <v>34.88</v>
      </c>
    </row>
    <row r="49" customFormat="1" s="9">
      <c r="A49" s="9" t="inlineStr">
        <is>
          <t>Net profit</t>
        </is>
      </c>
      <c r="B49" t="n">
        <v>88.76000000000001</v>
      </c>
      <c r="C49" t="n">
        <v>115.47</v>
      </c>
      <c r="D49" t="n">
        <v>89.05</v>
      </c>
      <c r="E49" t="n">
        <v>106.64</v>
      </c>
      <c r="F49" t="n">
        <v>107.12</v>
      </c>
      <c r="G49" t="n">
        <v>126.83</v>
      </c>
      <c r="H49" t="n">
        <v>109.83</v>
      </c>
      <c r="I49" t="n">
        <v>121.66</v>
      </c>
      <c r="J49" t="n">
        <v>116.72</v>
      </c>
      <c r="K49" t="n">
        <v>142.48</v>
      </c>
    </row>
    <row r="50">
      <c r="A50" s="9" t="inlineStr">
        <is>
          <t>Operating Profit</t>
        </is>
      </c>
      <c r="B50" t="n">
        <v>245.55</v>
      </c>
      <c r="C50" t="n">
        <v>276.51</v>
      </c>
      <c r="D50" t="n">
        <v>255.26</v>
      </c>
      <c r="E50" t="n">
        <v>285.16</v>
      </c>
      <c r="F50" t="n">
        <v>294.3</v>
      </c>
      <c r="G50" t="n">
        <v>331.64</v>
      </c>
      <c r="H50" t="n">
        <v>334.7</v>
      </c>
      <c r="I50" t="n">
        <v>367.81</v>
      </c>
      <c r="J50" t="n">
        <v>373.85</v>
      </c>
      <c r="K50" t="n">
        <v>407.24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/>
      <c r="D56" s="16" t="n"/>
      <c r="E56" s="16" t="n">
        <v>43190</v>
      </c>
      <c r="F56" s="16" t="n">
        <v>43555</v>
      </c>
      <c r="G56" s="16" t="n">
        <v>43921</v>
      </c>
      <c r="H56" s="16" t="n">
        <v>44286</v>
      </c>
      <c r="I56" s="16" t="n">
        <v>44651</v>
      </c>
      <c r="J56" s="16" t="n">
        <v>45016</v>
      </c>
      <c r="K56" s="16" t="n">
        <v>45382</v>
      </c>
    </row>
    <row r="57">
      <c r="A57" s="9" t="inlineStr">
        <is>
          <t>Equity Share Capital</t>
        </is>
      </c>
      <c r="E57" t="n">
        <v>69.17</v>
      </c>
      <c r="F57" t="n">
        <v>78.11</v>
      </c>
      <c r="G57" t="n">
        <v>78.31999999999999</v>
      </c>
      <c r="H57" t="n">
        <v>78.5</v>
      </c>
      <c r="I57" t="n">
        <v>78.94</v>
      </c>
      <c r="J57" t="n">
        <v>79.06</v>
      </c>
      <c r="K57" t="n">
        <v>79.14</v>
      </c>
    </row>
    <row r="58">
      <c r="A58" s="9" t="inlineStr">
        <is>
          <t>Reserves</t>
        </is>
      </c>
      <c r="E58" t="n">
        <v>1120.67</v>
      </c>
      <c r="F58" t="n">
        <v>1758.91</v>
      </c>
      <c r="G58" t="n">
        <v>2019.6</v>
      </c>
      <c r="H58" t="n">
        <v>2322.3</v>
      </c>
      <c r="I58" t="n">
        <v>2727.5</v>
      </c>
      <c r="J58" t="n">
        <v>3190.61</v>
      </c>
      <c r="K58" t="n">
        <v>3694.18</v>
      </c>
    </row>
    <row r="59">
      <c r="A59" s="9" t="inlineStr">
        <is>
          <t>Borrowings</t>
        </is>
      </c>
      <c r="E59" t="n">
        <v>2755.05</v>
      </c>
      <c r="F59" t="n">
        <v>3653.25</v>
      </c>
      <c r="G59" t="n">
        <v>5382.17</v>
      </c>
      <c r="H59" t="n">
        <v>6377.72</v>
      </c>
      <c r="I59" t="n">
        <v>8011.98</v>
      </c>
      <c r="J59" t="n">
        <v>9887.280000000001</v>
      </c>
      <c r="K59" t="n">
        <v>12398.3</v>
      </c>
    </row>
    <row r="60">
      <c r="A60" s="9" t="inlineStr">
        <is>
          <t>Other Liabilities</t>
        </is>
      </c>
      <c r="E60" t="n">
        <v>95.17</v>
      </c>
      <c r="F60" t="n">
        <v>136.63</v>
      </c>
      <c r="G60" t="n">
        <v>176.94</v>
      </c>
      <c r="H60" t="n">
        <v>180.73</v>
      </c>
      <c r="I60" t="n">
        <v>199.07</v>
      </c>
      <c r="J60" t="n">
        <v>252.66</v>
      </c>
      <c r="K60" t="n">
        <v>347.83</v>
      </c>
    </row>
    <row r="61" customFormat="1" s="1">
      <c r="A61" s="1" t="inlineStr">
        <is>
          <t>Total</t>
        </is>
      </c>
      <c r="E61" t="n">
        <v>4040.06</v>
      </c>
      <c r="F61" t="n">
        <v>5626.9</v>
      </c>
      <c r="G61" t="n">
        <v>7657.03</v>
      </c>
      <c r="H61" t="n">
        <v>8959.25</v>
      </c>
      <c r="I61" t="n">
        <v>11017.49</v>
      </c>
      <c r="J61" t="n">
        <v>13409.61</v>
      </c>
      <c r="K61" t="n">
        <v>16519.45</v>
      </c>
    </row>
    <row r="62">
      <c r="A62" s="9" t="inlineStr">
        <is>
          <t>Net Block</t>
        </is>
      </c>
      <c r="E62" t="n">
        <v>18.43</v>
      </c>
      <c r="F62" t="n">
        <v>22.82</v>
      </c>
      <c r="G62" t="n">
        <v>59.9</v>
      </c>
      <c r="H62" t="n">
        <v>58.26</v>
      </c>
      <c r="I62" t="n">
        <v>66.16</v>
      </c>
      <c r="J62" t="n">
        <v>78.37</v>
      </c>
      <c r="K62" t="n">
        <v>116</v>
      </c>
    </row>
    <row r="63">
      <c r="A63" s="9" t="inlineStr">
        <is>
          <t>Capital Work in Progress</t>
        </is>
      </c>
      <c r="E63" t="n">
        <v>0.03</v>
      </c>
      <c r="F63" t="n">
        <v>0.09</v>
      </c>
      <c r="G63" t="n">
        <v>0.71</v>
      </c>
      <c r="H63" t="n">
        <v>0.41</v>
      </c>
      <c r="I63" t="n">
        <v>2.1</v>
      </c>
      <c r="J63" t="n">
        <v>20.37</v>
      </c>
      <c r="K63" t="n">
        <v>11.21</v>
      </c>
    </row>
    <row r="64">
      <c r="A64" s="9" t="inlineStr">
        <is>
          <t>Investments</t>
        </is>
      </c>
      <c r="I64" t="n">
        <v>52.52</v>
      </c>
      <c r="J64" t="n">
        <v>110.72</v>
      </c>
      <c r="K64" t="n">
        <v>182.16</v>
      </c>
    </row>
    <row r="65">
      <c r="A65" s="9" t="inlineStr">
        <is>
          <t>Other Assets</t>
        </is>
      </c>
      <c r="E65" t="n">
        <v>4021.6</v>
      </c>
      <c r="F65" t="n">
        <v>5603.99</v>
      </c>
      <c r="G65" t="n">
        <v>7596.42</v>
      </c>
      <c r="H65" t="n">
        <v>8900.58</v>
      </c>
      <c r="I65" t="n">
        <v>10896.71</v>
      </c>
      <c r="J65" t="n">
        <v>13200.15</v>
      </c>
      <c r="K65" t="n">
        <v>16210.08</v>
      </c>
    </row>
    <row r="66" customFormat="1" s="1">
      <c r="A66" s="1" t="inlineStr">
        <is>
          <t>Total</t>
        </is>
      </c>
      <c r="E66" t="n">
        <v>4040.06</v>
      </c>
      <c r="F66" t="n">
        <v>5626.9</v>
      </c>
      <c r="G66" t="n">
        <v>7657.03</v>
      </c>
      <c r="H66" t="n">
        <v>8959.25</v>
      </c>
      <c r="I66" t="n">
        <v>11017.49</v>
      </c>
      <c r="J66" t="n">
        <v>13409.61</v>
      </c>
      <c r="K66" t="n">
        <v>16519.45</v>
      </c>
    </row>
    <row r="67" customFormat="1" s="9">
      <c r="A67" s="9" t="inlineStr">
        <is>
          <t>Receivables</t>
        </is>
      </c>
      <c r="K67" t="n">
        <v>12.22</v>
      </c>
    </row>
    <row r="68">
      <c r="A68" s="9" t="inlineStr">
        <is>
          <t>Inventory</t>
        </is>
      </c>
    </row>
    <row r="69">
      <c r="A69" s="21" t="inlineStr">
        <is>
          <t>Cash &amp; Bank</t>
        </is>
      </c>
      <c r="E69" t="n">
        <v>569.46</v>
      </c>
      <c r="F69" t="n">
        <v>683.8200000000001</v>
      </c>
      <c r="G69" t="n">
        <v>1196.73</v>
      </c>
      <c r="H69" t="n">
        <v>1125.17</v>
      </c>
      <c r="I69" t="n">
        <v>1545.73</v>
      </c>
      <c r="J69" t="n">
        <v>1392.83</v>
      </c>
      <c r="K69" t="n">
        <v>1797.82</v>
      </c>
    </row>
    <row r="70">
      <c r="A70" s="21" t="inlineStr">
        <is>
          <t>No. of Equity Shares</t>
        </is>
      </c>
      <c r="E70" t="n">
        <v>69950891</v>
      </c>
      <c r="F70" t="n">
        <v>78107901</v>
      </c>
      <c r="G70" t="n">
        <v>78322661</v>
      </c>
      <c r="H70" t="n">
        <v>78504551</v>
      </c>
      <c r="I70" t="n">
        <v>78936451</v>
      </c>
      <c r="J70" t="n">
        <v>79056874</v>
      </c>
      <c r="K70" t="n">
        <v>79139705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/>
      <c r="D81" s="16" t="n"/>
      <c r="E81" s="16" t="n">
        <v>43190</v>
      </c>
      <c r="F81" s="16" t="n">
        <v>43555</v>
      </c>
      <c r="G81" s="16" t="n">
        <v>43921</v>
      </c>
      <c r="H81" s="16" t="n">
        <v>44286</v>
      </c>
      <c r="I81" s="16" t="n">
        <v>44651</v>
      </c>
      <c r="J81" s="16" t="n">
        <v>45016</v>
      </c>
      <c r="K81" s="16" t="n">
        <v>45382</v>
      </c>
    </row>
    <row r="82" customFormat="1" s="1">
      <c r="A82" s="9" t="inlineStr">
        <is>
          <t>Cash from Operating Activity</t>
        </is>
      </c>
      <c r="E82" t="n">
        <v>-932.91</v>
      </c>
      <c r="F82" t="n">
        <v>-1275.91</v>
      </c>
      <c r="G82" t="n">
        <v>-1172.24</v>
      </c>
      <c r="H82" t="n">
        <v>-1071.17</v>
      </c>
      <c r="I82" t="n">
        <v>-1135.11</v>
      </c>
      <c r="J82" t="n">
        <v>-1914.5</v>
      </c>
      <c r="K82" t="n">
        <v>-1986.59</v>
      </c>
    </row>
    <row r="83" customFormat="1" s="9">
      <c r="A83" s="9" t="inlineStr">
        <is>
          <t>Cash from Investing Activity</t>
        </is>
      </c>
      <c r="E83" t="n">
        <v>-217.59</v>
      </c>
      <c r="F83" t="n">
        <v>-326.99</v>
      </c>
      <c r="G83" t="n">
        <v>-341.76</v>
      </c>
      <c r="H83" t="n">
        <v>-264.92</v>
      </c>
      <c r="I83" t="n">
        <v>-462.61</v>
      </c>
      <c r="J83" t="n">
        <v>186.08</v>
      </c>
      <c r="K83" t="n">
        <v>-647.78</v>
      </c>
    </row>
    <row r="84" customFormat="1" s="9">
      <c r="A84" s="9" t="inlineStr">
        <is>
          <t>Cash from Financing Activity</t>
        </is>
      </c>
      <c r="E84" t="n">
        <v>1240.38</v>
      </c>
      <c r="F84" t="n">
        <v>1404.44</v>
      </c>
      <c r="G84" t="n">
        <v>1704.56</v>
      </c>
      <c r="H84" t="n">
        <v>1007.59</v>
      </c>
      <c r="I84" t="n">
        <v>1623.43</v>
      </c>
      <c r="J84" t="n">
        <v>1858.26</v>
      </c>
      <c r="K84" t="n">
        <v>2477.28</v>
      </c>
    </row>
    <row r="85" customFormat="1" s="1">
      <c r="A85" s="9" t="inlineStr">
        <is>
          <t>Net Cash Flow</t>
        </is>
      </c>
      <c r="E85" t="n">
        <v>89.89</v>
      </c>
      <c r="F85" t="n">
        <v>-198.46</v>
      </c>
      <c r="G85" t="n">
        <v>190.56</v>
      </c>
      <c r="H85" t="n">
        <v>-328.5</v>
      </c>
      <c r="I85" t="n">
        <v>25.71</v>
      </c>
      <c r="J85" t="n">
        <v>129.84</v>
      </c>
      <c r="K85" t="n">
        <v>-157.09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F90" t="n">
        <v>1155.8</v>
      </c>
      <c r="G90" t="n">
        <v>1188.85</v>
      </c>
      <c r="H90" t="n">
        <v>2420.85</v>
      </c>
      <c r="I90" t="n">
        <v>2569.45</v>
      </c>
      <c r="J90" t="n">
        <v>1610.75</v>
      </c>
      <c r="K90" t="n">
        <v>1315.65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>
        <f>IF($B7&gt;0,(C70*C72/$B7)+SUM(D71:$K71),0)/10000000</f>
        <v/>
      </c>
      <c r="D93" s="31">
        <f>IF($B7&gt;0,(D70*D72/$B7)+SUM(E71:$K71),0)/10000000</f>
        <v/>
      </c>
      <c r="E93" s="31" t="n">
        <v>6.92</v>
      </c>
      <c r="F93" s="31" t="n">
        <v>7.81</v>
      </c>
      <c r="G93" s="31" t="n">
        <v>7.83</v>
      </c>
      <c r="H93" s="31" t="n">
        <v>7.85</v>
      </c>
      <c r="I93" s="31" t="n">
        <v>7.89</v>
      </c>
      <c r="J93" s="31" t="n">
        <v>7.91</v>
      </c>
      <c r="K93" s="31" t="n">
        <v>7.91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2026-09-15T17:23:16Z</dcterms:modified>
  <cp:lastModifiedBy>Pratyush Mittal</cp:lastModifiedBy>
  <cp:lastPrinted>2012-12-06T18:14:13Z</cp:lastPrinted>
</cp:coreProperties>
</file>