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GABRIEL INDIA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1322.15</v>
      </c>
    </row>
    <row r="9">
      <c r="A9" s="21" t="inlineStr">
        <is>
          <t>Market Capitalization</t>
        </is>
      </c>
      <c r="B9" t="n">
        <v>23432.46</v>
      </c>
    </row>
    <row r="10">
      <c r="A10" t="inlineStr">
        <is>
          <t>Industry</t>
        </is>
      </c>
      <c r="B10" t="inlineStr">
        <is>
          <t>Automobile and Auto Components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/>
      <c r="E16" s="16" t="n"/>
      <c r="F16" s="16" t="n"/>
      <c r="G16" s="16" t="n"/>
      <c r="H16" s="16" t="n"/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I17" t="n">
        <v>3402.63</v>
      </c>
      <c r="J17" t="n">
        <v>4063.38</v>
      </c>
      <c r="K17" t="n">
        <v>4666.93</v>
      </c>
    </row>
    <row r="18" customFormat="1" s="9">
      <c r="A18" s="21" t="inlineStr">
        <is>
          <t>Raw Material Cost</t>
        </is>
      </c>
      <c r="I18" t="n">
        <v>2568.95</v>
      </c>
      <c r="J18" t="n">
        <v>3032.06</v>
      </c>
      <c r="K18" t="n">
        <v>3440.18</v>
      </c>
    </row>
    <row r="19" customFormat="1" s="9">
      <c r="A19" s="21" t="inlineStr">
        <is>
          <t>Change in Inventory</t>
        </is>
      </c>
      <c r="I19" t="n">
        <v>17.19</v>
      </c>
      <c r="J19" t="n">
        <v>21.11</v>
      </c>
      <c r="K19" t="n">
        <v>-7.76</v>
      </c>
    </row>
    <row r="20" customFormat="1" s="9">
      <c r="A20" s="21" t="inlineStr">
        <is>
          <t>Power and Fuel</t>
        </is>
      </c>
      <c r="I20" t="n">
        <v>42.56</v>
      </c>
      <c r="J20" t="n">
        <v>46.48</v>
      </c>
      <c r="K20" t="n">
        <v>57.14</v>
      </c>
    </row>
    <row r="21" customFormat="1" s="9">
      <c r="A21" s="21" t="inlineStr">
        <is>
          <t>Other Mfr. Exp</t>
        </is>
      </c>
      <c r="I21" t="n">
        <v>116.88</v>
      </c>
      <c r="J21" t="n">
        <v>133.89</v>
      </c>
      <c r="K21" t="n">
        <v>152.03</v>
      </c>
    </row>
    <row r="22" customFormat="1" s="9">
      <c r="A22" s="21" t="inlineStr">
        <is>
          <t>Employee Cost</t>
        </is>
      </c>
      <c r="I22" t="n">
        <v>215.91</v>
      </c>
      <c r="J22" t="n">
        <v>255.94</v>
      </c>
      <c r="K22" t="n">
        <v>293.95</v>
      </c>
    </row>
    <row r="23" customFormat="1" s="9">
      <c r="A23" s="21" t="inlineStr">
        <is>
          <t>Selling and admin</t>
        </is>
      </c>
      <c r="I23" t="n">
        <v>158.07</v>
      </c>
      <c r="J23" t="n">
        <v>195.66</v>
      </c>
      <c r="K23" t="n">
        <v>234.9</v>
      </c>
    </row>
    <row r="24" customFormat="1" s="9">
      <c r="A24" s="21" t="inlineStr">
        <is>
          <t>Other Expenses</t>
        </is>
      </c>
      <c r="I24" t="n">
        <v>24.85</v>
      </c>
      <c r="J24" t="n">
        <v>30.63</v>
      </c>
      <c r="K24" t="n">
        <v>43.08</v>
      </c>
    </row>
    <row r="25" customFormat="1" s="9">
      <c r="A25" s="9" t="inlineStr">
        <is>
          <t>Other Income</t>
        </is>
      </c>
      <c r="I25" t="n">
        <v>19.42</v>
      </c>
      <c r="J25" t="n">
        <v>25.8</v>
      </c>
      <c r="K25" t="n">
        <v>12.55</v>
      </c>
    </row>
    <row r="26" customFormat="1" s="9">
      <c r="A26" s="9" t="inlineStr">
        <is>
          <t>Depreciation</t>
        </is>
      </c>
      <c r="I26" t="n">
        <v>59.95</v>
      </c>
      <c r="J26" t="n">
        <v>81.28</v>
      </c>
      <c r="K26" t="n">
        <v>100.11</v>
      </c>
    </row>
    <row r="27" customFormat="1" s="9">
      <c r="A27" s="9" t="inlineStr">
        <is>
          <t>Interest</t>
        </is>
      </c>
      <c r="I27" t="n">
        <v>8.24</v>
      </c>
      <c r="J27" t="n">
        <v>10.18</v>
      </c>
      <c r="K27" t="n">
        <v>14.18</v>
      </c>
    </row>
    <row r="28" customFormat="1" s="9">
      <c r="A28" s="9" t="inlineStr">
        <is>
          <t>Profit before tax</t>
        </is>
      </c>
      <c r="I28" t="n">
        <v>243.83</v>
      </c>
      <c r="J28" t="n">
        <v>324.17</v>
      </c>
      <c r="K28" t="n">
        <v>336.15</v>
      </c>
    </row>
    <row r="29" customFormat="1" s="9">
      <c r="A29" s="9" t="inlineStr">
        <is>
          <t>Tax</t>
        </is>
      </c>
      <c r="I29" t="n">
        <v>65.09</v>
      </c>
      <c r="J29" t="n">
        <v>79.18000000000001</v>
      </c>
      <c r="K29" t="n">
        <v>83.98999999999999</v>
      </c>
    </row>
    <row r="30" customFormat="1" s="9">
      <c r="A30" s="9" t="inlineStr">
        <is>
          <t>Net profit</t>
        </is>
      </c>
      <c r="I30" t="n">
        <v>178.75</v>
      </c>
      <c r="J30" t="n">
        <v>244.98</v>
      </c>
      <c r="K30" t="n">
        <v>252.28</v>
      </c>
    </row>
    <row r="31" customFormat="1" s="9">
      <c r="A31" s="9" t="inlineStr">
        <is>
          <t>Dividend Amount</t>
        </is>
      </c>
      <c r="I31" t="n">
        <v>57.44</v>
      </c>
      <c r="J31" t="n">
        <v>67.48999999999999</v>
      </c>
      <c r="K31" t="n">
        <v>71.8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916.98</v>
      </c>
      <c r="C42" t="n">
        <v>946.5700000000001</v>
      </c>
      <c r="D42" t="n">
        <v>1027.09</v>
      </c>
      <c r="E42" t="n">
        <v>1016.57</v>
      </c>
      <c r="F42" t="n">
        <v>1073.15</v>
      </c>
      <c r="G42" t="n">
        <v>1234.36</v>
      </c>
      <c r="H42" t="n">
        <v>1180.3</v>
      </c>
      <c r="I42" t="n">
        <v>1178.66</v>
      </c>
      <c r="J42" t="n">
        <v>1380.79</v>
      </c>
      <c r="K42" t="n">
        <v>1425.68</v>
      </c>
    </row>
    <row r="43" customFormat="1" s="9">
      <c r="A43" s="9" t="inlineStr">
        <is>
          <t>Expenses</t>
        </is>
      </c>
      <c r="B43" t="n">
        <v>836.5</v>
      </c>
      <c r="C43" t="n">
        <v>855.84</v>
      </c>
      <c r="D43" t="n">
        <v>928.38</v>
      </c>
      <c r="E43" t="n">
        <v>925.1</v>
      </c>
      <c r="F43" t="n">
        <v>964.39</v>
      </c>
      <c r="G43" t="n">
        <v>1116.13</v>
      </c>
      <c r="H43" t="n">
        <v>1067.47</v>
      </c>
      <c r="I43" t="n">
        <v>1071.78</v>
      </c>
      <c r="J43" t="n">
        <v>1247.58</v>
      </c>
      <c r="K43" t="n">
        <v>1301.51</v>
      </c>
    </row>
    <row r="44" customFormat="1" s="9">
      <c r="A44" s="9" t="inlineStr">
        <is>
          <t>Other Income</t>
        </is>
      </c>
      <c r="B44" t="n">
        <v>5.89</v>
      </c>
      <c r="C44" t="n">
        <v>6.31</v>
      </c>
      <c r="D44" t="n">
        <v>4.82</v>
      </c>
      <c r="E44" t="n">
        <v>9.460000000000001</v>
      </c>
      <c r="F44" t="n">
        <v>5.37</v>
      </c>
      <c r="G44" t="n">
        <v>43.18</v>
      </c>
      <c r="H44" t="n">
        <v>6.07</v>
      </c>
      <c r="I44" t="n">
        <v>-6.28</v>
      </c>
      <c r="J44" t="n">
        <v>53.23</v>
      </c>
      <c r="K44" t="n">
        <v>47.37</v>
      </c>
    </row>
    <row r="45" customFormat="1" s="9">
      <c r="A45" s="9" t="inlineStr">
        <is>
          <t>Depreciation</t>
        </is>
      </c>
      <c r="B45" t="n">
        <v>17.68</v>
      </c>
      <c r="C45" t="n">
        <v>18.76</v>
      </c>
      <c r="D45" t="n">
        <v>19.37</v>
      </c>
      <c r="E45" t="n">
        <v>19.41</v>
      </c>
      <c r="F45" t="n">
        <v>23.74</v>
      </c>
      <c r="G45" t="n">
        <v>30.66</v>
      </c>
      <c r="H45" t="n">
        <v>25.05</v>
      </c>
      <c r="I45" t="n">
        <v>25.48</v>
      </c>
      <c r="J45" t="n">
        <v>30.59</v>
      </c>
      <c r="K45" t="n">
        <v>32.3</v>
      </c>
    </row>
    <row r="46" customFormat="1" s="9">
      <c r="A46" s="9" t="inlineStr">
        <is>
          <t>Interest</t>
        </is>
      </c>
      <c r="B46" t="n">
        <v>2.31</v>
      </c>
      <c r="C46" t="n">
        <v>2.24</v>
      </c>
      <c r="D46" t="n">
        <v>1.97</v>
      </c>
      <c r="E46" t="n">
        <v>2.99</v>
      </c>
      <c r="F46" t="n">
        <v>2.98</v>
      </c>
      <c r="G46" t="n">
        <v>4.98</v>
      </c>
      <c r="H46" t="n">
        <v>2.84</v>
      </c>
      <c r="I46" t="n">
        <v>3.2</v>
      </c>
      <c r="J46" t="n">
        <v>8.43</v>
      </c>
      <c r="K46" t="n">
        <v>5.98</v>
      </c>
    </row>
    <row r="47" customFormat="1" s="9">
      <c r="A47" s="9" t="inlineStr">
        <is>
          <t>Profit before tax</t>
        </is>
      </c>
      <c r="B47" t="n">
        <v>66.38</v>
      </c>
      <c r="C47" t="n">
        <v>76.04000000000001</v>
      </c>
      <c r="D47" t="n">
        <v>82.19</v>
      </c>
      <c r="E47" t="n">
        <v>78.53</v>
      </c>
      <c r="F47" t="n">
        <v>87.41</v>
      </c>
      <c r="G47" t="n">
        <v>125.77</v>
      </c>
      <c r="H47" t="n">
        <v>91.01000000000001</v>
      </c>
      <c r="I47" t="n">
        <v>71.92</v>
      </c>
      <c r="J47" t="n">
        <v>147.42</v>
      </c>
      <c r="K47" t="n">
        <v>133.26</v>
      </c>
    </row>
    <row r="48" customFormat="1" s="9">
      <c r="A48" s="9" t="inlineStr">
        <is>
          <t>Tax</t>
        </is>
      </c>
      <c r="B48" t="n">
        <v>17.33</v>
      </c>
      <c r="C48" t="n">
        <v>18.44</v>
      </c>
      <c r="D48" t="n">
        <v>19.27</v>
      </c>
      <c r="E48" t="n">
        <v>18.42</v>
      </c>
      <c r="F48" t="n">
        <v>23.05</v>
      </c>
      <c r="G48" t="n">
        <v>20.32</v>
      </c>
      <c r="H48" t="n">
        <v>21.98</v>
      </c>
      <c r="I48" t="n">
        <v>17.25</v>
      </c>
      <c r="J48" t="n">
        <v>28.38</v>
      </c>
      <c r="K48" t="n">
        <v>25.14</v>
      </c>
    </row>
    <row r="49" customFormat="1" s="9">
      <c r="A49" s="9" t="inlineStr">
        <is>
          <t>Net profit</t>
        </is>
      </c>
      <c r="B49" t="n">
        <v>49.04</v>
      </c>
      <c r="C49" t="n">
        <v>57.59</v>
      </c>
      <c r="D49" t="n">
        <v>62.92</v>
      </c>
      <c r="E49" t="n">
        <v>60.11</v>
      </c>
      <c r="F49" t="n">
        <v>64.36</v>
      </c>
      <c r="G49" t="n">
        <v>105.26</v>
      </c>
      <c r="H49" t="n">
        <v>69.03</v>
      </c>
      <c r="I49" t="n">
        <v>54.67</v>
      </c>
      <c r="J49" t="n">
        <v>118.25</v>
      </c>
      <c r="K49" t="n">
        <v>107.35</v>
      </c>
    </row>
    <row r="50">
      <c r="A50" s="9" t="inlineStr">
        <is>
          <t>Operating Profit</t>
        </is>
      </c>
      <c r="B50" t="n">
        <v>80.48</v>
      </c>
      <c r="C50" t="n">
        <v>90.73</v>
      </c>
      <c r="D50" t="n">
        <v>98.70999999999999</v>
      </c>
      <c r="E50" t="n">
        <v>91.47</v>
      </c>
      <c r="F50" t="n">
        <v>108.76</v>
      </c>
      <c r="G50" t="n">
        <v>118.23</v>
      </c>
      <c r="H50" t="n">
        <v>112.83</v>
      </c>
      <c r="I50" t="n">
        <v>106.88</v>
      </c>
      <c r="J50" t="n">
        <v>133.21</v>
      </c>
      <c r="K50" t="n">
        <v>124.17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/>
      <c r="E56" s="16" t="n"/>
      <c r="F56" s="16" t="n"/>
      <c r="G56" s="16" t="n"/>
      <c r="H56" s="16" t="n"/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I57" t="n">
        <v>14.36</v>
      </c>
      <c r="J57" t="n">
        <v>14.36</v>
      </c>
      <c r="K57" t="n">
        <v>14.36</v>
      </c>
    </row>
    <row r="58">
      <c r="A58" s="9" t="inlineStr">
        <is>
          <t>Reserves</t>
        </is>
      </c>
      <c r="I58" t="n">
        <v>987.79</v>
      </c>
      <c r="J58" t="n">
        <v>1168.92</v>
      </c>
      <c r="K58" t="n">
        <v>1354.38</v>
      </c>
    </row>
    <row r="59">
      <c r="A59" s="9" t="inlineStr">
        <is>
          <t>Borrowings</t>
        </is>
      </c>
      <c r="I59" t="n">
        <v>74.97</v>
      </c>
      <c r="J59" t="n">
        <v>69.09</v>
      </c>
      <c r="K59" t="n">
        <v>148.12</v>
      </c>
    </row>
    <row r="60">
      <c r="A60" s="9" t="inlineStr">
        <is>
          <t>Other Liabilities</t>
        </is>
      </c>
      <c r="I60" t="n">
        <v>702.37</v>
      </c>
      <c r="J60" t="n">
        <v>769.9299999999999</v>
      </c>
      <c r="K60" t="n">
        <v>911.3099999999999</v>
      </c>
    </row>
    <row r="61" customFormat="1" s="1">
      <c r="A61" s="1" t="inlineStr">
        <is>
          <t>Total</t>
        </is>
      </c>
      <c r="I61" t="n">
        <v>1779.49</v>
      </c>
      <c r="J61" t="n">
        <v>2022.3</v>
      </c>
      <c r="K61" t="n">
        <v>2428.17</v>
      </c>
    </row>
    <row r="62">
      <c r="A62" s="9" t="inlineStr">
        <is>
          <t>Net Block</t>
        </is>
      </c>
      <c r="I62" t="n">
        <v>542.58</v>
      </c>
      <c r="J62" t="n">
        <v>641.0599999999999</v>
      </c>
      <c r="K62" t="n">
        <v>780.8200000000001</v>
      </c>
    </row>
    <row r="63">
      <c r="A63" s="9" t="inlineStr">
        <is>
          <t>Capital Work in Progress</t>
        </is>
      </c>
      <c r="I63" t="n">
        <v>56.32</v>
      </c>
      <c r="J63" t="n">
        <v>75.91</v>
      </c>
      <c r="K63" t="n">
        <v>99.97</v>
      </c>
    </row>
    <row r="64">
      <c r="A64" s="9" t="inlineStr">
        <is>
          <t>Investments</t>
        </is>
      </c>
      <c r="I64" t="n">
        <v>102.69</v>
      </c>
      <c r="J64" t="n">
        <v>38.51</v>
      </c>
      <c r="K64" t="n">
        <v>120.69</v>
      </c>
    </row>
    <row r="65">
      <c r="A65" s="9" t="inlineStr">
        <is>
          <t>Other Assets</t>
        </is>
      </c>
      <c r="I65" t="n">
        <v>1077.9</v>
      </c>
      <c r="J65" t="n">
        <v>1266.82</v>
      </c>
      <c r="K65" t="n">
        <v>1426.69</v>
      </c>
    </row>
    <row r="66" customFormat="1" s="1">
      <c r="A66" s="1" t="inlineStr">
        <is>
          <t>Total</t>
        </is>
      </c>
      <c r="I66" t="n">
        <v>1779.49</v>
      </c>
      <c r="J66" t="n">
        <v>2022.3</v>
      </c>
      <c r="K66" t="n">
        <v>2428.17</v>
      </c>
    </row>
    <row r="67" customFormat="1" s="9">
      <c r="A67" s="9" t="inlineStr">
        <is>
          <t>Receivables</t>
        </is>
      </c>
      <c r="I67" t="n">
        <v>491.43</v>
      </c>
      <c r="J67" t="n">
        <v>600.1900000000001</v>
      </c>
      <c r="K67" t="n">
        <v>676.51</v>
      </c>
    </row>
    <row r="68">
      <c r="A68" s="9" t="inlineStr">
        <is>
          <t>Inventory</t>
        </is>
      </c>
      <c r="I68" t="n">
        <v>301.52</v>
      </c>
      <c r="J68" t="n">
        <v>363.91</v>
      </c>
      <c r="K68" t="n">
        <v>409.4</v>
      </c>
    </row>
    <row r="69">
      <c r="A69" s="21" t="inlineStr">
        <is>
          <t>Cash &amp; Bank</t>
        </is>
      </c>
      <c r="I69" t="n">
        <v>76.45999999999999</v>
      </c>
      <c r="J69" t="n">
        <v>39.44</v>
      </c>
      <c r="K69" t="n">
        <v>202.66</v>
      </c>
    </row>
    <row r="70">
      <c r="A70" s="21" t="inlineStr">
        <is>
          <t>No. of Equity Shares</t>
        </is>
      </c>
      <c r="I70" t="n">
        <v>143643940</v>
      </c>
      <c r="J70" t="n">
        <v>143643940</v>
      </c>
      <c r="K70" t="n">
        <v>143643940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/>
      <c r="E81" s="16" t="n"/>
      <c r="F81" s="16" t="n"/>
      <c r="G81" s="16" t="n"/>
      <c r="H81" s="16" t="n"/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I82" t="n">
        <v>176.59</v>
      </c>
      <c r="J82" t="n">
        <v>203.82</v>
      </c>
      <c r="K82" t="n">
        <v>345.27</v>
      </c>
    </row>
    <row r="83" customFormat="1" s="9">
      <c r="A83" s="9" t="inlineStr">
        <is>
          <t>Cash from Investing Activity</t>
        </is>
      </c>
      <c r="I83" t="n">
        <v>-128.62</v>
      </c>
      <c r="J83" t="n">
        <v>-148.83</v>
      </c>
      <c r="K83" t="n">
        <v>-248.29</v>
      </c>
    </row>
    <row r="84" customFormat="1" s="9">
      <c r="A84" s="9" t="inlineStr">
        <is>
          <t>Cash from Financing Activity</t>
        </is>
      </c>
      <c r="I84" t="n">
        <v>-27.87</v>
      </c>
      <c r="J84" t="n">
        <v>-80.95</v>
      </c>
      <c r="K84" t="n">
        <v>-18.91</v>
      </c>
    </row>
    <row r="85" customFormat="1" s="1">
      <c r="A85" s="9" t="inlineStr">
        <is>
          <t>Net Cash Flow</t>
        </is>
      </c>
      <c r="I85" t="n">
        <v>20.1</v>
      </c>
      <c r="J85" t="n">
        <v>-25.95</v>
      </c>
      <c r="K85" t="n">
        <v>78.06999999999999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I90" t="n">
        <v>333.85</v>
      </c>
      <c r="J90" t="n">
        <v>579.6</v>
      </c>
      <c r="K90" t="n">
        <v>826.35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>
        <f>IF($B7&gt;0,(E70*E72/$B7)+SUM(F71:$K71),0)/10000000</f>
        <v/>
      </c>
      <c r="F93" s="31">
        <f>IF($B7&gt;0,(F70*F72/$B7)+SUM(G71:$K71),0)/10000000</f>
        <v/>
      </c>
      <c r="G93" s="31">
        <f>IF($B7&gt;0,(G70*G72/$B7)+SUM(H71:$K71),0)/10000000</f>
        <v/>
      </c>
      <c r="H93" s="31">
        <f>IF($B7&gt;0,(H70*H72/$B7)+SUM(I71:$K71),0)/10000000</f>
        <v/>
      </c>
      <c r="I93" s="31" t="n">
        <v>14.36</v>
      </c>
      <c r="J93" s="31" t="n">
        <v>14.36</v>
      </c>
      <c r="K93" s="31" t="n">
        <v>14.36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2026-09-15T17:23:45Z</dcterms:modified>
  <cp:lastModifiedBy>Pratyush Mittal</cp:lastModifiedBy>
  <cp:lastPrinted>2012-12-06T18:14:13Z</cp:lastPrinted>
</cp:coreProperties>
</file>