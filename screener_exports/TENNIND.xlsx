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TENNECO CLEAN AIR INDIA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515.35</v>
      </c>
    </row>
    <row r="9">
      <c r="A9" s="21" t="inlineStr">
        <is>
          <t>Market Capitalization</t>
        </is>
      </c>
      <c r="B9" t="n">
        <v>20799.7</v>
      </c>
    </row>
    <row r="10">
      <c r="A10" t="inlineStr">
        <is>
          <t>Industry</t>
        </is>
      </c>
      <c r="B10" t="inlineStr">
        <is>
          <t>Automobile and Auto Components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/>
      <c r="E16" s="16" t="n"/>
      <c r="F16" s="16" t="n"/>
      <c r="G16" s="16" t="n"/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H17" t="n">
        <v>4827.37</v>
      </c>
      <c r="I17" t="n">
        <v>5467.61</v>
      </c>
      <c r="J17" t="n">
        <v>4890.43</v>
      </c>
      <c r="K17" t="n">
        <v>5403.98</v>
      </c>
    </row>
    <row r="18" customFormat="1" s="9">
      <c r="A18" s="21" t="inlineStr">
        <is>
          <t>Raw Material Cost</t>
        </is>
      </c>
      <c r="H18" t="n">
        <v>3448.36</v>
      </c>
      <c r="I18" t="n">
        <v>3876.17</v>
      </c>
      <c r="J18" t="n">
        <v>3215.95</v>
      </c>
      <c r="K18" t="n">
        <v>3539.45</v>
      </c>
    </row>
    <row r="19" customFormat="1" s="9">
      <c r="A19" s="21" t="inlineStr">
        <is>
          <t>Change in Inventory</t>
        </is>
      </c>
      <c r="H19" t="n">
        <v>9.970000000000001</v>
      </c>
      <c r="I19" t="n">
        <v>-16.33</v>
      </c>
      <c r="J19" t="n">
        <v>-5.22</v>
      </c>
      <c r="K19" t="n">
        <v>29.52</v>
      </c>
    </row>
    <row r="20" customFormat="1" s="9">
      <c r="A20" s="21" t="inlineStr">
        <is>
          <t>Power and Fuel</t>
        </is>
      </c>
      <c r="H20" t="n">
        <v>42.9</v>
      </c>
      <c r="I20" t="n">
        <v>45.75</v>
      </c>
      <c r="J20" t="n">
        <v>48.42</v>
      </c>
      <c r="K20" t="n">
        <v>49.48</v>
      </c>
    </row>
    <row r="21" customFormat="1" s="9">
      <c r="A21" s="21" t="inlineStr">
        <is>
          <t>Other Mfr. Exp</t>
        </is>
      </c>
      <c r="H21" t="n">
        <v>377.56</v>
      </c>
      <c r="I21" t="n">
        <v>543.4400000000001</v>
      </c>
      <c r="J21" t="n">
        <v>367.51</v>
      </c>
      <c r="K21" t="n">
        <v>390.41</v>
      </c>
    </row>
    <row r="22" customFormat="1" s="9">
      <c r="A22" s="21" t="inlineStr">
        <is>
          <t>Employee Cost</t>
        </is>
      </c>
      <c r="H22" t="n">
        <v>248.58</v>
      </c>
      <c r="I22" t="n">
        <v>252.65</v>
      </c>
      <c r="J22" t="n">
        <v>297.92</v>
      </c>
      <c r="K22" t="n">
        <v>339.21</v>
      </c>
    </row>
    <row r="23" customFormat="1" s="9">
      <c r="A23" s="21" t="inlineStr">
        <is>
          <t>Selling and admin</t>
        </is>
      </c>
      <c r="H23" t="n">
        <v>90.17</v>
      </c>
      <c r="I23" t="n">
        <v>89.16</v>
      </c>
      <c r="J23" t="n">
        <v>104.55</v>
      </c>
      <c r="K23" t="n">
        <v>147.43</v>
      </c>
    </row>
    <row r="24" customFormat="1" s="9">
      <c r="A24" s="21" t="inlineStr">
        <is>
          <t>Other Expenses</t>
        </is>
      </c>
      <c r="H24" t="n">
        <v>58.33</v>
      </c>
      <c r="I24" t="n">
        <v>31.52</v>
      </c>
      <c r="J24" t="n">
        <v>35.59</v>
      </c>
      <c r="K24" t="n">
        <v>42.05</v>
      </c>
    </row>
    <row r="25" customFormat="1" s="9">
      <c r="A25" s="9" t="inlineStr">
        <is>
          <t>Other Income</t>
        </is>
      </c>
      <c r="H25" t="n">
        <v>58.78</v>
      </c>
      <c r="I25" t="n">
        <v>69.27</v>
      </c>
      <c r="J25" t="n">
        <v>40.99</v>
      </c>
      <c r="K25" t="n">
        <v>31.78</v>
      </c>
    </row>
    <row r="26" customFormat="1" s="9">
      <c r="A26" s="9" t="inlineStr">
        <is>
          <t>Depreciation</t>
        </is>
      </c>
      <c r="H26" t="n">
        <v>100.92</v>
      </c>
      <c r="I26" t="n">
        <v>103.59</v>
      </c>
      <c r="J26" t="n">
        <v>103.17</v>
      </c>
      <c r="K26" t="n">
        <v>108.17</v>
      </c>
    </row>
    <row r="27" customFormat="1" s="9">
      <c r="A27" s="9" t="inlineStr">
        <is>
          <t>Interest</t>
        </is>
      </c>
      <c r="H27" t="n">
        <v>21.56</v>
      </c>
      <c r="I27" t="n">
        <v>25.16</v>
      </c>
      <c r="J27" t="n">
        <v>20.27</v>
      </c>
      <c r="K27" t="n">
        <v>33.57</v>
      </c>
    </row>
    <row r="28" customFormat="1" s="9">
      <c r="A28" s="9" t="inlineStr">
        <is>
          <t>Profit before tax</t>
        </is>
      </c>
      <c r="H28" t="n">
        <v>507.74</v>
      </c>
      <c r="I28" t="n">
        <v>553.11</v>
      </c>
      <c r="J28" t="n">
        <v>732.8200000000001</v>
      </c>
      <c r="K28" t="n">
        <v>815.51</v>
      </c>
    </row>
    <row r="29" customFormat="1" s="9">
      <c r="A29" s="9" t="inlineStr">
        <is>
          <t>Tax</t>
        </is>
      </c>
      <c r="H29" t="n">
        <v>126.7</v>
      </c>
      <c r="I29" t="n">
        <v>136.32</v>
      </c>
      <c r="J29" t="n">
        <v>179.67</v>
      </c>
      <c r="K29" t="n">
        <v>211.15</v>
      </c>
    </row>
    <row r="30" customFormat="1" s="9">
      <c r="A30" s="9" t="inlineStr">
        <is>
          <t>Net profit</t>
        </is>
      </c>
      <c r="H30" t="n">
        <v>381.08</v>
      </c>
      <c r="I30" t="n">
        <v>416.66</v>
      </c>
      <c r="J30" t="n">
        <v>552.0599999999999</v>
      </c>
      <c r="K30" t="n">
        <v>603.58</v>
      </c>
    </row>
    <row r="31" customFormat="1" s="9">
      <c r="A31" s="9" t="inlineStr">
        <is>
          <t>Dividend Amount</t>
        </is>
      </c>
      <c r="H31" t="n">
        <v>155.86</v>
      </c>
      <c r="I31" t="n">
        <v>191.82</v>
      </c>
      <c r="J31" t="n">
        <v>453.28</v>
      </c>
      <c r="K31" t="n">
        <v>1036.57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/>
      <c r="C41" s="16" t="n"/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D42" t="n">
        <v>1168.65</v>
      </c>
      <c r="E42" t="n">
        <v>1125.13</v>
      </c>
      <c r="F42" t="n">
        <v>1325.88</v>
      </c>
      <c r="G42" t="n">
        <v>1285.62</v>
      </c>
      <c r="H42" t="n">
        <v>1280.64</v>
      </c>
      <c r="I42" t="n">
        <v>1285.26</v>
      </c>
      <c r="J42" t="n">
        <v>1552.45</v>
      </c>
      <c r="K42" t="n">
        <v>1544.75</v>
      </c>
    </row>
    <row r="43" customFormat="1" s="9">
      <c r="A43" s="9" t="inlineStr">
        <is>
          <t>Expenses</t>
        </is>
      </c>
      <c r="D43" t="n">
        <v>963.47</v>
      </c>
      <c r="E43" t="n">
        <v>946.84</v>
      </c>
      <c r="F43" t="n">
        <v>1107.02</v>
      </c>
      <c r="G43" t="n">
        <v>1056.74</v>
      </c>
      <c r="H43" t="n">
        <v>1063.85</v>
      </c>
      <c r="I43" t="n">
        <v>1062.75</v>
      </c>
      <c r="J43" t="n">
        <v>1295.15</v>
      </c>
      <c r="K43" t="n">
        <v>1297.87</v>
      </c>
    </row>
    <row r="44" customFormat="1" s="9">
      <c r="A44" s="9" t="inlineStr">
        <is>
          <t>Other Income</t>
        </is>
      </c>
      <c r="D44" t="n">
        <v>1.36</v>
      </c>
      <c r="E44" t="n">
        <v>18.62</v>
      </c>
      <c r="F44" t="n">
        <v>5.99</v>
      </c>
      <c r="G44" t="n">
        <v>30.81</v>
      </c>
      <c r="H44" t="n">
        <v>12.06</v>
      </c>
      <c r="I44" t="n">
        <v>-22.49</v>
      </c>
      <c r="J44" t="n">
        <v>11.4</v>
      </c>
      <c r="K44" t="n">
        <v>8.66</v>
      </c>
    </row>
    <row r="45" customFormat="1" s="9">
      <c r="A45" s="9" t="inlineStr">
        <is>
          <t>Depreciation</t>
        </is>
      </c>
      <c r="D45" t="n">
        <v>25.25</v>
      </c>
      <c r="E45" t="n">
        <v>26.99</v>
      </c>
      <c r="F45" t="n">
        <v>25.95</v>
      </c>
      <c r="G45" t="n">
        <v>25.37</v>
      </c>
      <c r="H45" t="n">
        <v>25.82</v>
      </c>
      <c r="I45" t="n">
        <v>28.31</v>
      </c>
      <c r="J45" t="n">
        <v>28.66</v>
      </c>
      <c r="K45" t="n">
        <v>27.76</v>
      </c>
    </row>
    <row r="46" customFormat="1" s="9">
      <c r="A46" s="9" t="inlineStr">
        <is>
          <t>Interest</t>
        </is>
      </c>
      <c r="D46" t="n">
        <v>4.17</v>
      </c>
      <c r="E46" t="n">
        <v>4.7</v>
      </c>
      <c r="F46" t="n">
        <v>6.62</v>
      </c>
      <c r="G46" t="n">
        <v>7.1</v>
      </c>
      <c r="H46" t="n">
        <v>10.6</v>
      </c>
      <c r="I46" t="n">
        <v>7.12</v>
      </c>
      <c r="J46" t="n">
        <v>8.76</v>
      </c>
      <c r="K46" t="n">
        <v>8.380000000000001</v>
      </c>
    </row>
    <row r="47" customFormat="1" s="9">
      <c r="A47" s="9" t="inlineStr">
        <is>
          <t>Profit before tax</t>
        </is>
      </c>
      <c r="D47" t="n">
        <v>177.12</v>
      </c>
      <c r="E47" t="n">
        <v>165.22</v>
      </c>
      <c r="F47" t="n">
        <v>192.28</v>
      </c>
      <c r="G47" t="n">
        <v>227.22</v>
      </c>
      <c r="H47" t="n">
        <v>192.43</v>
      </c>
      <c r="I47" t="n">
        <v>164.59</v>
      </c>
      <c r="J47" t="n">
        <v>231.28</v>
      </c>
      <c r="K47" t="n">
        <v>219.4</v>
      </c>
    </row>
    <row r="48" customFormat="1" s="9">
      <c r="A48" s="9" t="inlineStr">
        <is>
          <t>Tax</t>
        </is>
      </c>
      <c r="D48" t="n">
        <v>40.04</v>
      </c>
      <c r="E48" t="n">
        <v>39.82</v>
      </c>
      <c r="F48" t="n">
        <v>51.92</v>
      </c>
      <c r="G48" t="n">
        <v>59.13</v>
      </c>
      <c r="H48" t="n">
        <v>41.74</v>
      </c>
      <c r="I48" t="n">
        <v>45.78</v>
      </c>
      <c r="J48" t="n">
        <v>64.5</v>
      </c>
      <c r="K48" t="n">
        <v>54.17</v>
      </c>
    </row>
    <row r="49" customFormat="1" s="9">
      <c r="A49" s="9" t="inlineStr">
        <is>
          <t>Net profit</t>
        </is>
      </c>
      <c r="D49" t="n">
        <v>136.82</v>
      </c>
      <c r="E49" t="n">
        <v>125.2</v>
      </c>
      <c r="F49" t="n">
        <v>140.14</v>
      </c>
      <c r="G49" t="n">
        <v>167.82</v>
      </c>
      <c r="H49" t="n">
        <v>150.5</v>
      </c>
      <c r="I49" t="n">
        <v>118.69</v>
      </c>
      <c r="J49" t="n">
        <v>166.58</v>
      </c>
      <c r="K49" t="n">
        <v>165.04</v>
      </c>
    </row>
    <row r="50">
      <c r="A50" s="9" t="inlineStr">
        <is>
          <t>Operating Profit</t>
        </is>
      </c>
      <c r="D50" t="n">
        <v>205.18</v>
      </c>
      <c r="E50" t="n">
        <v>178.29</v>
      </c>
      <c r="F50" t="n">
        <v>218.86</v>
      </c>
      <c r="G50" t="n">
        <v>228.88</v>
      </c>
      <c r="H50" t="n">
        <v>216.79</v>
      </c>
      <c r="I50" t="n">
        <v>222.51</v>
      </c>
      <c r="J50" t="n">
        <v>257.3</v>
      </c>
      <c r="K50" t="n">
        <v>246.88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/>
      <c r="E56" s="16" t="n"/>
      <c r="F56" s="16" t="n"/>
      <c r="G56" s="16" t="n"/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H57" t="n">
        <v>313.41</v>
      </c>
      <c r="I57" t="n">
        <v>214.09</v>
      </c>
      <c r="J57" t="n">
        <v>403.6</v>
      </c>
      <c r="K57" t="n">
        <v>403.6</v>
      </c>
    </row>
    <row r="58">
      <c r="A58" s="9" t="inlineStr">
        <is>
          <t>Reserves</t>
        </is>
      </c>
      <c r="H58" t="n">
        <v>894.63</v>
      </c>
      <c r="I58" t="n">
        <v>765.9400000000001</v>
      </c>
      <c r="J58" t="n">
        <v>1206.37</v>
      </c>
      <c r="K58" t="n">
        <v>793.8</v>
      </c>
    </row>
    <row r="59">
      <c r="A59" s="9" t="inlineStr">
        <is>
          <t>Borrowings</t>
        </is>
      </c>
      <c r="H59" t="n">
        <v>31.25</v>
      </c>
      <c r="I59" t="n">
        <v>15.1</v>
      </c>
      <c r="J59" t="n">
        <v>19.69</v>
      </c>
      <c r="K59" t="n">
        <v>51.5</v>
      </c>
    </row>
    <row r="60">
      <c r="A60" s="9" t="inlineStr">
        <is>
          <t>Other Liabilities</t>
        </is>
      </c>
      <c r="H60" t="n">
        <v>1189.97</v>
      </c>
      <c r="I60" t="n">
        <v>1140.12</v>
      </c>
      <c r="J60" t="n">
        <v>1201.82</v>
      </c>
      <c r="K60" t="n">
        <v>1288.19</v>
      </c>
    </row>
    <row r="61" customFormat="1" s="1">
      <c r="A61" s="1" t="inlineStr">
        <is>
          <t>Total</t>
        </is>
      </c>
      <c r="H61" t="n">
        <v>2429.26</v>
      </c>
      <c r="I61" t="n">
        <v>2135.25</v>
      </c>
      <c r="J61" t="n">
        <v>2831.48</v>
      </c>
      <c r="K61" t="n">
        <v>2537.09</v>
      </c>
    </row>
    <row r="62">
      <c r="A62" s="9" t="inlineStr">
        <is>
          <t>Net Block</t>
        </is>
      </c>
      <c r="H62" t="n">
        <v>630.85</v>
      </c>
      <c r="I62" t="n">
        <v>607.53</v>
      </c>
      <c r="J62" t="n">
        <v>581.87</v>
      </c>
      <c r="K62" t="n">
        <v>582.12</v>
      </c>
    </row>
    <row r="63">
      <c r="A63" s="9" t="inlineStr">
        <is>
          <t>Capital Work in Progress</t>
        </is>
      </c>
      <c r="H63" t="n">
        <v>18.48</v>
      </c>
      <c r="I63" t="n">
        <v>36.62</v>
      </c>
      <c r="J63" t="n">
        <v>31.07</v>
      </c>
      <c r="K63" t="n">
        <v>58.07</v>
      </c>
    </row>
    <row r="64">
      <c r="A64" s="9" t="inlineStr">
        <is>
          <t>Investments</t>
        </is>
      </c>
      <c r="H64" t="n">
        <v>0.75</v>
      </c>
      <c r="I64" t="n">
        <v>0.89</v>
      </c>
      <c r="J64" t="n">
        <v>0.33</v>
      </c>
      <c r="K64" t="n">
        <v>0.33</v>
      </c>
    </row>
    <row r="65">
      <c r="A65" s="9" t="inlineStr">
        <is>
          <t>Other Assets</t>
        </is>
      </c>
      <c r="H65" t="n">
        <v>1779.18</v>
      </c>
      <c r="I65" t="n">
        <v>1490.21</v>
      </c>
      <c r="J65" t="n">
        <v>2218.21</v>
      </c>
      <c r="K65" t="n">
        <v>1896.57</v>
      </c>
    </row>
    <row r="66" customFormat="1" s="1">
      <c r="A66" s="1" t="inlineStr">
        <is>
          <t>Total</t>
        </is>
      </c>
      <c r="H66" t="n">
        <v>2429.26</v>
      </c>
      <c r="I66" t="n">
        <v>2135.25</v>
      </c>
      <c r="J66" t="n">
        <v>2831.48</v>
      </c>
      <c r="K66" t="n">
        <v>2537.09</v>
      </c>
    </row>
    <row r="67" customFormat="1" s="9">
      <c r="A67" s="9" t="inlineStr">
        <is>
          <t>Receivables</t>
        </is>
      </c>
      <c r="H67" t="n">
        <v>563.1799999999999</v>
      </c>
      <c r="I67" t="n">
        <v>559.76</v>
      </c>
      <c r="J67" t="n">
        <v>687.23</v>
      </c>
      <c r="K67" t="n">
        <v>634.83</v>
      </c>
    </row>
    <row r="68">
      <c r="A68" s="9" t="inlineStr">
        <is>
          <t>Inventory</t>
        </is>
      </c>
      <c r="H68" t="n">
        <v>394.88</v>
      </c>
      <c r="I68" t="n">
        <v>329.34</v>
      </c>
      <c r="J68" t="n">
        <v>277.73</v>
      </c>
      <c r="K68" t="n">
        <v>338.38</v>
      </c>
    </row>
    <row r="69">
      <c r="A69" s="21" t="inlineStr">
        <is>
          <t>Cash &amp; Bank</t>
        </is>
      </c>
      <c r="H69" t="n">
        <v>412.72</v>
      </c>
      <c r="I69" t="n">
        <v>183.66</v>
      </c>
      <c r="J69" t="n">
        <v>286.23</v>
      </c>
      <c r="K69" t="n">
        <v>571.4400000000001</v>
      </c>
    </row>
    <row r="70">
      <c r="A70" s="21" t="inlineStr">
        <is>
          <t>No. of Equity Shares</t>
        </is>
      </c>
      <c r="H70" t="n">
        <v>313406120</v>
      </c>
      <c r="I70" t="n">
        <v>214088829</v>
      </c>
      <c r="J70" t="n">
        <v>403604309</v>
      </c>
      <c r="K70" t="n">
        <v>403604309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/>
      <c r="E81" s="16" t="n"/>
      <c r="F81" s="16" t="n"/>
      <c r="G81" s="16" t="n"/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H82" t="n">
        <v>537.5</v>
      </c>
      <c r="I82" t="n">
        <v>487.67</v>
      </c>
      <c r="J82" t="n">
        <v>562.39</v>
      </c>
      <c r="K82" t="n">
        <v>1429.48</v>
      </c>
    </row>
    <row r="83" customFormat="1" s="9">
      <c r="A83" s="9" t="inlineStr">
        <is>
          <t>Cash from Investing Activity</t>
        </is>
      </c>
      <c r="H83" t="n">
        <v>-13.1</v>
      </c>
      <c r="I83" t="n">
        <v>-30.14</v>
      </c>
      <c r="J83" t="n">
        <v>-26.78</v>
      </c>
      <c r="K83" t="n">
        <v>-68.79000000000001</v>
      </c>
    </row>
    <row r="84" customFormat="1" s="9">
      <c r="A84" s="9" t="inlineStr">
        <is>
          <t>Cash from Financing Activity</t>
        </is>
      </c>
      <c r="H84" t="n">
        <v>-394.39</v>
      </c>
      <c r="I84" t="n">
        <v>-685.9400000000001</v>
      </c>
      <c r="J84" t="n">
        <v>-432.78</v>
      </c>
      <c r="K84" t="n">
        <v>-1075.36</v>
      </c>
    </row>
    <row r="85" customFormat="1" s="1">
      <c r="A85" s="9" t="inlineStr">
        <is>
          <t>Net Cash Flow</t>
        </is>
      </c>
      <c r="H85" t="n">
        <v>130.02</v>
      </c>
      <c r="I85" t="n">
        <v>-228.4</v>
      </c>
      <c r="J85" t="n">
        <v>102.83</v>
      </c>
      <c r="K85" t="n">
        <v>285.33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K90" t="n">
        <v>515.1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>
        <f>IF($B7&gt;0,(D70*D72/$B7)+SUM(E71:$K71),0)/10000000</f>
        <v/>
      </c>
      <c r="E93" s="31">
        <f>IF($B7&gt;0,(E70*E72/$B7)+SUM(F71:$K71),0)/10000000</f>
        <v/>
      </c>
      <c r="F93" s="31">
        <f>IF($B7&gt;0,(F70*F72/$B7)+SUM(G71:$K71),0)/10000000</f>
        <v/>
      </c>
      <c r="G93" s="31">
        <f>IF($B7&gt;0,(G70*G72/$B7)+SUM(H71:$K71),0)/10000000</f>
        <v/>
      </c>
      <c r="H93" s="31" t="n">
        <v>21.41</v>
      </c>
      <c r="I93" s="31" t="n">
        <v>21.41</v>
      </c>
      <c r="J93" s="31" t="n">
        <v>40.36</v>
      </c>
      <c r="K93" s="31" t="n">
        <v>40.36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2026-09-15T17:24:51Z</dcterms:modified>
  <cp:lastModifiedBy>Pratyush Mittal</cp:lastModifiedBy>
  <cp:lastPrinted>2012-12-06T18:14:13Z</cp:lastPrinted>
</cp:coreProperties>
</file>