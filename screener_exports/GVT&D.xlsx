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GE VERNOVA T&amp;D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4323.3</v>
      </c>
    </row>
    <row r="9">
      <c r="A9" s="21" t="inlineStr">
        <is>
          <t>Market Capitalization</t>
        </is>
      </c>
      <c r="B9" t="n">
        <v>110698.12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>
        <v>40543</v>
      </c>
    </row>
    <row r="17" customFormat="1" s="9">
      <c r="A17" s="9" t="inlineStr">
        <is>
          <t>Sales</t>
        </is>
      </c>
      <c r="K17" t="n">
        <v>4020.03</v>
      </c>
    </row>
    <row r="18" customFormat="1" s="9">
      <c r="A18" s="21" t="inlineStr">
        <is>
          <t>Raw Material Cost</t>
        </is>
      </c>
      <c r="K18" t="n">
        <v>2875.76</v>
      </c>
    </row>
    <row r="19" customFormat="1" s="9">
      <c r="A19" s="21" t="inlineStr">
        <is>
          <t>Change in Inventory</t>
        </is>
      </c>
      <c r="K19" t="n">
        <v>122.63</v>
      </c>
    </row>
    <row r="20" customFormat="1" s="9">
      <c r="A20" s="21" t="inlineStr">
        <is>
          <t>Power and Fuel</t>
        </is>
      </c>
      <c r="K20" t="n">
        <v>23.97</v>
      </c>
    </row>
    <row r="21" customFormat="1" s="9">
      <c r="A21" s="21" t="inlineStr">
        <is>
          <t>Other Mfr. Exp</t>
        </is>
      </c>
      <c r="K21" t="n">
        <v>57.88</v>
      </c>
    </row>
    <row r="22" customFormat="1" s="9">
      <c r="A22" s="21" t="inlineStr">
        <is>
          <t>Employee Cost</t>
        </is>
      </c>
      <c r="K22" t="n">
        <v>346.09</v>
      </c>
    </row>
    <row r="23" customFormat="1" s="9">
      <c r="A23" s="21" t="inlineStr">
        <is>
          <t>Selling and admin</t>
        </is>
      </c>
      <c r="K23" t="n">
        <v>288.15</v>
      </c>
    </row>
    <row r="24" customFormat="1" s="9">
      <c r="A24" s="21" t="inlineStr">
        <is>
          <t>Other Expenses</t>
        </is>
      </c>
      <c r="K24" t="n">
        <v>77.7</v>
      </c>
    </row>
    <row r="25" customFormat="1" s="9">
      <c r="A25" s="9" t="inlineStr">
        <is>
          <t>Other Income</t>
        </is>
      </c>
      <c r="K25" t="n">
        <v>17.13</v>
      </c>
    </row>
    <row r="26" customFormat="1" s="9">
      <c r="A26" s="9" t="inlineStr">
        <is>
          <t>Depreciation</t>
        </is>
      </c>
      <c r="K26" t="n">
        <v>93.59999999999999</v>
      </c>
    </row>
    <row r="27" customFormat="1" s="9">
      <c r="A27" s="9" t="inlineStr">
        <is>
          <t>Interest</t>
        </is>
      </c>
      <c r="K27" t="n">
        <v>115.02</v>
      </c>
    </row>
    <row r="28" customFormat="1" s="9">
      <c r="A28" s="9" t="inlineStr">
        <is>
          <t>Profit before tax</t>
        </is>
      </c>
      <c r="K28" t="n">
        <v>281.62</v>
      </c>
    </row>
    <row r="29" customFormat="1" s="9">
      <c r="A29" s="9" t="inlineStr">
        <is>
          <t>Tax</t>
        </is>
      </c>
      <c r="K29" t="n">
        <v>94.88</v>
      </c>
    </row>
    <row r="30" customFormat="1" s="9">
      <c r="A30" s="9" t="inlineStr">
        <is>
          <t>Net profit</t>
        </is>
      </c>
      <c r="K30" t="n">
        <v>186.74</v>
      </c>
    </row>
    <row r="31" customFormat="1" s="9">
      <c r="A31" s="9" t="inlineStr">
        <is>
          <t>Dividend Amount</t>
        </is>
      </c>
      <c r="K31" t="n">
        <v>43.04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>
        <v>40543</v>
      </c>
    </row>
    <row r="57">
      <c r="A57" s="9" t="inlineStr">
        <is>
          <t>Equity Share Capital</t>
        </is>
      </c>
      <c r="K57" t="n">
        <v>47.82</v>
      </c>
    </row>
    <row r="58">
      <c r="A58" s="9" t="inlineStr">
        <is>
          <t>Reserves</t>
        </is>
      </c>
      <c r="K58" t="n">
        <v>954.55</v>
      </c>
    </row>
    <row r="59">
      <c r="A59" s="9" t="inlineStr">
        <is>
          <t>Borrowings</t>
        </is>
      </c>
      <c r="K59" t="n">
        <v>895.7</v>
      </c>
    </row>
    <row r="60">
      <c r="A60" s="9" t="inlineStr">
        <is>
          <t>Other Liabilities</t>
        </is>
      </c>
      <c r="K60" t="n">
        <v>2569.88</v>
      </c>
    </row>
    <row r="61" customFormat="1" s="1">
      <c r="A61" s="1" t="inlineStr">
        <is>
          <t>Total</t>
        </is>
      </c>
      <c r="K61" t="n">
        <v>4467.95</v>
      </c>
    </row>
    <row r="62">
      <c r="A62" s="9" t="inlineStr">
        <is>
          <t>Net Block</t>
        </is>
      </c>
      <c r="K62" t="n">
        <v>871.54</v>
      </c>
    </row>
    <row r="63">
      <c r="A63" s="9" t="inlineStr">
        <is>
          <t>Capital Work in Progress</t>
        </is>
      </c>
      <c r="K63" t="n">
        <v>22.39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K65" t="n">
        <v>3574.02</v>
      </c>
    </row>
    <row r="66" customFormat="1" s="1">
      <c r="A66" s="1" t="inlineStr">
        <is>
          <t>Total</t>
        </is>
      </c>
      <c r="K66" t="n">
        <v>4467.95</v>
      </c>
    </row>
    <row r="67" customFormat="1" s="9">
      <c r="A67" s="9" t="inlineStr">
        <is>
          <t>Receivables</t>
        </is>
      </c>
      <c r="K67" t="n">
        <v>2140.02</v>
      </c>
    </row>
    <row r="68">
      <c r="A68" s="9" t="inlineStr">
        <is>
          <t>Inventory</t>
        </is>
      </c>
      <c r="K68" t="n">
        <v>480.84</v>
      </c>
    </row>
    <row r="69">
      <c r="A69" s="21" t="inlineStr">
        <is>
          <t>Cash &amp; Bank</t>
        </is>
      </c>
      <c r="K69" t="n">
        <v>119.92</v>
      </c>
    </row>
    <row r="70">
      <c r="A70" s="21" t="inlineStr">
        <is>
          <t>No. of Equity Shares</t>
        </is>
      </c>
      <c r="K70" t="n">
        <v>239106635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>
        <v>40543</v>
      </c>
    </row>
    <row r="82" customFormat="1" s="1">
      <c r="A82" s="9" t="inlineStr">
        <is>
          <t>Cash from Operating Activity</t>
        </is>
      </c>
      <c r="K82" t="n">
        <v>107.54</v>
      </c>
    </row>
    <row r="83" customFormat="1" s="9">
      <c r="A83" s="9" t="inlineStr">
        <is>
          <t>Cash from Investing Activity</t>
        </is>
      </c>
      <c r="K83" t="n">
        <v>-113.35</v>
      </c>
    </row>
    <row r="84" customFormat="1" s="9">
      <c r="A84" s="9" t="inlineStr">
        <is>
          <t>Cash from Financing Activity</t>
        </is>
      </c>
      <c r="K84" t="n">
        <v>-7.12</v>
      </c>
    </row>
    <row r="85" customFormat="1" s="1">
      <c r="A85" s="9" t="inlineStr">
        <is>
          <t>Net Cash Flow</t>
        </is>
      </c>
      <c r="K85" t="n">
        <v>-12.93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269.03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>
        <f>IF($B7&gt;0,(J70*J72/$B7)+SUM(K71:$K71),0)/10000000</f>
        <v/>
      </c>
      <c r="K93" s="31" t="n">
        <v>23.9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