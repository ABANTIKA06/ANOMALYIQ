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ITC HOTELS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153.2</v>
      </c>
    </row>
    <row r="9">
      <c r="A9" s="21" t="inlineStr">
        <is>
          <t>Market Capitalization</t>
        </is>
      </c>
      <c r="B9" t="n">
        <v>31911.61</v>
      </c>
    </row>
    <row r="10">
      <c r="A10" t="inlineStr">
        <is>
          <t>Industry</t>
        </is>
      </c>
      <c r="B10" t="inlineStr">
        <is>
          <t>Consumer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I17" t="n">
        <v>2224.4</v>
      </c>
      <c r="J17" t="n">
        <v>3559.81</v>
      </c>
      <c r="K17" t="n">
        <v>4139.4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I20" t="n">
        <v>110.26</v>
      </c>
      <c r="J20" t="n">
        <v>187.33</v>
      </c>
      <c r="K20" t="n">
        <v>182.45</v>
      </c>
    </row>
    <row r="21" customFormat="1" s="9">
      <c r="A21" s="21" t="inlineStr">
        <is>
          <t>Other Mfr. Exp</t>
        </is>
      </c>
      <c r="I21" t="n">
        <v>521.26</v>
      </c>
      <c r="J21" t="n">
        <v>811.39</v>
      </c>
      <c r="K21" t="n">
        <v>1002.31</v>
      </c>
    </row>
    <row r="22" customFormat="1" s="9">
      <c r="A22" s="21" t="inlineStr">
        <is>
          <t>Employee Cost</t>
        </is>
      </c>
      <c r="I22" t="n">
        <v>423.71</v>
      </c>
      <c r="J22" t="n">
        <v>701.09</v>
      </c>
      <c r="K22" t="n">
        <v>791.23</v>
      </c>
    </row>
    <row r="23" customFormat="1" s="9">
      <c r="A23" s="21" t="inlineStr">
        <is>
          <t>Selling and admin</t>
        </is>
      </c>
      <c r="I23" t="n">
        <v>352.97</v>
      </c>
      <c r="J23" t="n">
        <v>542.01</v>
      </c>
      <c r="K23" t="n">
        <v>621.25</v>
      </c>
    </row>
    <row r="24" customFormat="1" s="9">
      <c r="A24" s="21" t="inlineStr">
        <is>
          <t>Other Expenses</t>
        </is>
      </c>
      <c r="I24" t="n">
        <v>45.54</v>
      </c>
      <c r="J24" t="n">
        <v>64.81</v>
      </c>
      <c r="K24" t="n">
        <v>62.4</v>
      </c>
    </row>
    <row r="25" customFormat="1" s="9">
      <c r="A25" s="9" t="inlineStr">
        <is>
          <t>Other Income</t>
        </is>
      </c>
      <c r="I25" t="n">
        <v>15.62</v>
      </c>
      <c r="J25" t="n">
        <v>77.45</v>
      </c>
      <c r="K25" t="n">
        <v>115.18</v>
      </c>
    </row>
    <row r="26" customFormat="1" s="9">
      <c r="A26" s="9" t="inlineStr">
        <is>
          <t>Depreciation</t>
        </is>
      </c>
      <c r="I26" t="n">
        <v>201.39</v>
      </c>
      <c r="J26" t="n">
        <v>402.35</v>
      </c>
      <c r="K26" t="n">
        <v>416.51</v>
      </c>
    </row>
    <row r="27" customFormat="1" s="9">
      <c r="A27" s="9" t="inlineStr">
        <is>
          <t>Interest</t>
        </is>
      </c>
      <c r="I27" t="n">
        <v>20.17</v>
      </c>
      <c r="J27" t="n">
        <v>44.22</v>
      </c>
      <c r="K27" t="n">
        <v>55.45</v>
      </c>
    </row>
    <row r="28" customFormat="1" s="9">
      <c r="A28" s="9" t="inlineStr">
        <is>
          <t>Profit before tax</t>
        </is>
      </c>
      <c r="I28" t="n">
        <v>564.72</v>
      </c>
      <c r="J28" t="n">
        <v>884.0599999999999</v>
      </c>
      <c r="K28" t="n">
        <v>1122.98</v>
      </c>
    </row>
    <row r="29" customFormat="1" s="9">
      <c r="A29" s="9" t="inlineStr">
        <is>
          <t>Tax</t>
        </is>
      </c>
      <c r="I29" t="n">
        <v>140.85</v>
      </c>
      <c r="J29" t="n">
        <v>246.42</v>
      </c>
      <c r="K29" t="n">
        <v>301.72</v>
      </c>
    </row>
    <row r="30" customFormat="1" s="9">
      <c r="A30" s="9" t="inlineStr">
        <is>
          <t>Net profit</t>
        </is>
      </c>
      <c r="I30" t="n">
        <v>421.72</v>
      </c>
      <c r="J30" t="n">
        <v>634.5700000000001</v>
      </c>
      <c r="K30" t="n">
        <v>816.89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/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C42" t="n">
        <v>705.84</v>
      </c>
      <c r="D42" t="n">
        <v>777.95</v>
      </c>
      <c r="E42" t="n">
        <v>1015.4</v>
      </c>
      <c r="F42" t="n">
        <v>1060.62</v>
      </c>
      <c r="G42" t="n">
        <v>815.54</v>
      </c>
      <c r="H42" t="n">
        <v>839.48</v>
      </c>
      <c r="I42" t="n">
        <v>1230.68</v>
      </c>
      <c r="J42" t="n">
        <v>1253.7</v>
      </c>
      <c r="K42" t="n">
        <v>936.02</v>
      </c>
    </row>
    <row r="43" customFormat="1" s="9">
      <c r="A43" s="9" t="inlineStr">
        <is>
          <t>Expenses</t>
        </is>
      </c>
      <c r="C43" t="n">
        <v>500.05</v>
      </c>
      <c r="D43" t="n">
        <v>565.74</v>
      </c>
      <c r="E43" t="n">
        <v>634.8099999999999</v>
      </c>
      <c r="F43" t="n">
        <v>648.33</v>
      </c>
      <c r="G43" t="n">
        <v>570.87</v>
      </c>
      <c r="H43" t="n">
        <v>593.73</v>
      </c>
      <c r="I43" t="n">
        <v>763.62</v>
      </c>
      <c r="J43" t="n">
        <v>787.4</v>
      </c>
      <c r="K43" t="n">
        <v>643.7</v>
      </c>
    </row>
    <row r="44" customFormat="1" s="9">
      <c r="A44" s="9" t="inlineStr">
        <is>
          <t>Other Income</t>
        </is>
      </c>
      <c r="C44" t="n">
        <v>13.53</v>
      </c>
      <c r="D44" t="n">
        <v>6.94</v>
      </c>
      <c r="E44" t="n">
        <v>18.99</v>
      </c>
      <c r="F44" t="n">
        <v>42.71</v>
      </c>
      <c r="G44" t="n">
        <v>48.23</v>
      </c>
      <c r="H44" t="n">
        <v>48.93</v>
      </c>
      <c r="I44" t="n">
        <v>-33.53</v>
      </c>
      <c r="J44" t="n">
        <v>60.01</v>
      </c>
      <c r="K44" t="n">
        <v>62.18</v>
      </c>
    </row>
    <row r="45" customFormat="1" s="9">
      <c r="A45" s="9" t="inlineStr">
        <is>
          <t>Depreciation</t>
        </is>
      </c>
      <c r="C45" t="n">
        <v>94.70999999999999</v>
      </c>
      <c r="D45" t="n">
        <v>103.89</v>
      </c>
      <c r="E45" t="n">
        <v>103.95</v>
      </c>
      <c r="F45" t="n">
        <v>99.8</v>
      </c>
      <c r="G45" t="n">
        <v>102.44</v>
      </c>
      <c r="H45" t="n">
        <v>104.08</v>
      </c>
      <c r="I45" t="n">
        <v>104.21</v>
      </c>
      <c r="J45" t="n">
        <v>105.78</v>
      </c>
      <c r="K45" t="n">
        <v>104.3</v>
      </c>
    </row>
    <row r="46" customFormat="1" s="9">
      <c r="A46" s="9" t="inlineStr">
        <is>
          <t>Interest</t>
        </is>
      </c>
      <c r="C46" t="n">
        <v>1.65</v>
      </c>
      <c r="D46" t="n">
        <v>1.66</v>
      </c>
      <c r="E46" t="n">
        <v>1.65</v>
      </c>
      <c r="F46" t="n">
        <v>1.68</v>
      </c>
      <c r="G46" t="n">
        <v>1.66</v>
      </c>
      <c r="H46" t="n">
        <v>1.91</v>
      </c>
      <c r="I46" t="n">
        <v>2.19</v>
      </c>
      <c r="J46" t="n">
        <v>2.17</v>
      </c>
      <c r="K46" t="n">
        <v>2</v>
      </c>
    </row>
    <row r="47" customFormat="1" s="9">
      <c r="A47" s="9" t="inlineStr">
        <is>
          <t>Profit before tax</t>
        </is>
      </c>
      <c r="C47" t="n">
        <v>122.96</v>
      </c>
      <c r="D47" t="n">
        <v>113.6</v>
      </c>
      <c r="E47" t="n">
        <v>293.98</v>
      </c>
      <c r="F47" t="n">
        <v>353.52</v>
      </c>
      <c r="G47" t="n">
        <v>188.8</v>
      </c>
      <c r="H47" t="n">
        <v>188.69</v>
      </c>
      <c r="I47" t="n">
        <v>327.13</v>
      </c>
      <c r="J47" t="n">
        <v>418.36</v>
      </c>
      <c r="K47" t="n">
        <v>248.2</v>
      </c>
    </row>
    <row r="48" customFormat="1" s="9">
      <c r="A48" s="9" t="inlineStr">
        <is>
          <t>Tax</t>
        </is>
      </c>
      <c r="C48" t="n">
        <v>35.8</v>
      </c>
      <c r="D48" t="n">
        <v>36.97</v>
      </c>
      <c r="E48" t="n">
        <v>77.98</v>
      </c>
      <c r="F48" t="n">
        <v>95.67</v>
      </c>
      <c r="G48" t="n">
        <v>55.09</v>
      </c>
      <c r="H48" t="n">
        <v>55.4</v>
      </c>
      <c r="I48" t="n">
        <v>90.3</v>
      </c>
      <c r="J48" t="n">
        <v>100.93</v>
      </c>
      <c r="K48" t="n">
        <v>66.29000000000001</v>
      </c>
    </row>
    <row r="49" customFormat="1" s="9">
      <c r="A49" s="9" t="inlineStr">
        <is>
          <t>Net profit</t>
        </is>
      </c>
      <c r="C49" t="n">
        <v>86.53</v>
      </c>
      <c r="D49" t="n">
        <v>76.17</v>
      </c>
      <c r="E49" t="n">
        <v>214.97</v>
      </c>
      <c r="F49" t="n">
        <v>256.9</v>
      </c>
      <c r="G49" t="n">
        <v>133.1</v>
      </c>
      <c r="H49" t="n">
        <v>132.77</v>
      </c>
      <c r="I49" t="n">
        <v>235.13</v>
      </c>
      <c r="J49" t="n">
        <v>315.89</v>
      </c>
      <c r="K49" t="n">
        <v>180.25</v>
      </c>
    </row>
    <row r="50">
      <c r="A50" s="9" t="inlineStr">
        <is>
          <t>Operating Profit</t>
        </is>
      </c>
      <c r="C50" t="n">
        <v>205.79</v>
      </c>
      <c r="D50" t="n">
        <v>212.21</v>
      </c>
      <c r="E50" t="n">
        <v>380.59</v>
      </c>
      <c r="F50" t="n">
        <v>412.29</v>
      </c>
      <c r="G50" t="n">
        <v>244.67</v>
      </c>
      <c r="H50" t="n">
        <v>245.75</v>
      </c>
      <c r="I50" t="n">
        <v>467.06</v>
      </c>
      <c r="J50" t="n">
        <v>466.3</v>
      </c>
      <c r="K50" t="n">
        <v>292.32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/>
      <c r="G56" s="16" t="n"/>
      <c r="H56" s="16" t="n"/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I57" t="n">
        <v>83</v>
      </c>
      <c r="J57" t="n">
        <v>208.12</v>
      </c>
      <c r="K57" t="n">
        <v>208.3</v>
      </c>
    </row>
    <row r="58">
      <c r="A58" s="9" t="inlineStr">
        <is>
          <t>Reserves</t>
        </is>
      </c>
      <c r="I58" t="n">
        <v>8414.85</v>
      </c>
      <c r="J58" t="n">
        <v>10484.05</v>
      </c>
      <c r="K58" t="n">
        <v>11449.52</v>
      </c>
    </row>
    <row r="59">
      <c r="A59" s="9" t="inlineStr">
        <is>
          <t>Borrowings</t>
        </is>
      </c>
      <c r="I59" t="n">
        <v>73.59</v>
      </c>
      <c r="J59" t="n">
        <v>73.3</v>
      </c>
      <c r="K59" t="n">
        <v>74.19</v>
      </c>
    </row>
    <row r="60">
      <c r="A60" s="9" t="inlineStr">
        <is>
          <t>Other Liabilities</t>
        </is>
      </c>
      <c r="I60" t="n">
        <v>1616.59</v>
      </c>
      <c r="J60" t="n">
        <v>1706.92</v>
      </c>
      <c r="K60" t="n">
        <v>1748.2</v>
      </c>
    </row>
    <row r="61" customFormat="1" s="1">
      <c r="A61" s="1" t="inlineStr">
        <is>
          <t>Total</t>
        </is>
      </c>
      <c r="I61" t="n">
        <v>10188.03</v>
      </c>
      <c r="J61" t="n">
        <v>12472.39</v>
      </c>
      <c r="K61" t="n">
        <v>13480.21</v>
      </c>
    </row>
    <row r="62">
      <c r="A62" s="9" t="inlineStr">
        <is>
          <t>Net Block</t>
        </is>
      </c>
      <c r="I62" t="n">
        <v>6436.18</v>
      </c>
      <c r="J62" t="n">
        <v>8189.44</v>
      </c>
      <c r="K62" t="n">
        <v>8089.03</v>
      </c>
    </row>
    <row r="63">
      <c r="A63" s="9" t="inlineStr">
        <is>
          <t>Capital Work in Progress</t>
        </is>
      </c>
      <c r="I63" t="n">
        <v>1767.56</v>
      </c>
      <c r="J63" t="n">
        <v>157.91</v>
      </c>
      <c r="K63" t="n">
        <v>206.81</v>
      </c>
    </row>
    <row r="64">
      <c r="A64" s="9" t="inlineStr">
        <is>
          <t>Investments</t>
        </is>
      </c>
      <c r="I64" t="n">
        <v>204.4</v>
      </c>
      <c r="J64" t="n">
        <v>676.16</v>
      </c>
      <c r="K64" t="n">
        <v>1955.76</v>
      </c>
    </row>
    <row r="65">
      <c r="A65" s="9" t="inlineStr">
        <is>
          <t>Other Assets</t>
        </is>
      </c>
      <c r="I65" t="n">
        <v>1779.89</v>
      </c>
      <c r="J65" t="n">
        <v>3448.88</v>
      </c>
      <c r="K65" t="n">
        <v>3228.61</v>
      </c>
    </row>
    <row r="66" customFormat="1" s="1">
      <c r="A66" s="1" t="inlineStr">
        <is>
          <t>Total</t>
        </is>
      </c>
      <c r="I66" t="n">
        <v>10188.03</v>
      </c>
      <c r="J66" t="n">
        <v>12472.39</v>
      </c>
      <c r="K66" t="n">
        <v>13480.21</v>
      </c>
    </row>
    <row r="67" customFormat="1" s="9">
      <c r="A67" s="9" t="inlineStr">
        <is>
          <t>Receivables</t>
        </is>
      </c>
      <c r="I67" t="n">
        <v>144.52</v>
      </c>
      <c r="J67" t="n">
        <v>201.77</v>
      </c>
      <c r="K67" t="n">
        <v>230.25</v>
      </c>
    </row>
    <row r="68">
      <c r="A68" s="9" t="inlineStr">
        <is>
          <t>Inventory</t>
        </is>
      </c>
      <c r="I68" t="n">
        <v>1036.62</v>
      </c>
      <c r="J68" t="n">
        <v>1241.16</v>
      </c>
      <c r="K68" t="n">
        <v>1239.68</v>
      </c>
    </row>
    <row r="69">
      <c r="A69" s="21" t="inlineStr">
        <is>
          <t>Cash &amp; Bank</t>
        </is>
      </c>
      <c r="I69" t="n">
        <v>197.46</v>
      </c>
      <c r="J69" t="n">
        <v>1653.56</v>
      </c>
      <c r="K69" t="n">
        <v>765.36</v>
      </c>
    </row>
    <row r="70">
      <c r="A70" s="21" t="inlineStr">
        <is>
          <t>No. of Equity Shares</t>
        </is>
      </c>
      <c r="I70" t="n">
        <v>830000000</v>
      </c>
      <c r="J70" t="n">
        <v>2081171040</v>
      </c>
      <c r="K70" t="n">
        <v>2082976309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/>
      <c r="G81" s="16" t="n"/>
      <c r="H81" s="16" t="n"/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I82" t="n">
        <v>672.49</v>
      </c>
      <c r="J82" t="n">
        <v>801.0599999999999</v>
      </c>
      <c r="K82" t="n">
        <v>1109.85</v>
      </c>
    </row>
    <row r="83" customFormat="1" s="9">
      <c r="A83" s="9" t="inlineStr">
        <is>
          <t>Cash from Investing Activity</t>
        </is>
      </c>
      <c r="I83" t="n">
        <v>-752.65</v>
      </c>
      <c r="J83" t="n">
        <v>-2203.35</v>
      </c>
      <c r="K83" t="n">
        <v>-1174.22</v>
      </c>
    </row>
    <row r="84" customFormat="1" s="9">
      <c r="A84" s="9" t="inlineStr">
        <is>
          <t>Cash from Financing Activity</t>
        </is>
      </c>
      <c r="I84" t="n">
        <v>126.97</v>
      </c>
      <c r="J84" t="n">
        <v>1429.68</v>
      </c>
      <c r="K84" t="n">
        <v>18.57</v>
      </c>
    </row>
    <row r="85" customFormat="1" s="1">
      <c r="A85" s="9" t="inlineStr">
        <is>
          <t>Net Cash Flow</t>
        </is>
      </c>
      <c r="I85" t="n">
        <v>46.81</v>
      </c>
      <c r="J85" t="n">
        <v>27.39</v>
      </c>
      <c r="K85" t="n">
        <v>-45.8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J90" t="n">
        <v>197.51</v>
      </c>
      <c r="K90" t="n">
        <v>137.87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>
        <f>IF($B7&gt;0,(G70*G72/$B7)+SUM(H71:$K71),0)/10000000</f>
        <v/>
      </c>
      <c r="H93" s="31">
        <f>IF($B7&gt;0,(H70*H72/$B7)+SUM(I71:$K71),0)/10000000</f>
        <v/>
      </c>
      <c r="I93" s="31">
        <f>IF($B7&gt;0,(I70*I72/$B7)+SUM(J71:$K71),0)/10000000</f>
        <v/>
      </c>
      <c r="J93" s="31" t="n">
        <v>208.12</v>
      </c>
      <c r="K93" s="31" t="n">
        <v>208.3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2026-09-15T17:23:59Z</dcterms:modified>
  <cp:lastModifiedBy>Pratyush Mittal</cp:lastModifiedBy>
  <cp:lastPrinted>2012-12-06T18:14:13Z</cp:lastPrinted>
</cp:coreProperties>
</file>